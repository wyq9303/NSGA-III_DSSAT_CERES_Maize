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WYQ_Researching\Paper\SynologyDrive\P5_SandMaize_已投稿\code\SandMaize_OpenSourceThirdRevision\economic_analysis\data\"/>
    </mc:Choice>
  </mc:AlternateContent>
  <xr:revisionPtr revIDLastSave="0" documentId="13_ncr:1_{7E9DA7F5-30AC-4B47-9C2B-49E8DBE59753}" xr6:coauthVersionLast="47" xr6:coauthVersionMax="47" xr10:uidLastSave="{00000000-0000-0000-0000-000000000000}"/>
  <bookViews>
    <workbookView xWindow="-110" yWindow="-110" windowWidth="25820" windowHeight="13900" tabRatio="747" activeTab="1" xr2:uid="{00000000-000D-0000-FFFF-FFFF00000000}"/>
  </bookViews>
  <sheets>
    <sheet name="Candidate_Management" sheetId="2" r:id="rId1"/>
    <sheet name="Candidate_Year_Results" sheetId="3" r:id="rId2"/>
    <sheet name="Farmer_Year_Results" sheetId="4" r:id="rId3"/>
    <sheet name="Economic_Parameter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6" i="3" l="1"/>
  <c r="L86" i="3"/>
  <c r="M86" i="3" s="1"/>
  <c r="K86" i="3"/>
  <c r="H86" i="3"/>
  <c r="N85" i="3"/>
  <c r="L85" i="3"/>
  <c r="M85" i="3" s="1"/>
  <c r="K85" i="3"/>
  <c r="H85" i="3"/>
  <c r="N84" i="3"/>
  <c r="L84" i="3"/>
  <c r="M84" i="3" s="1"/>
  <c r="K84" i="3"/>
  <c r="H84" i="3"/>
  <c r="N83" i="3"/>
  <c r="L83" i="3"/>
  <c r="M83" i="3" s="1"/>
  <c r="K83" i="3"/>
  <c r="H83" i="3"/>
  <c r="N82" i="3"/>
  <c r="L82" i="3"/>
  <c r="M82" i="3" s="1"/>
  <c r="K82" i="3"/>
  <c r="H82" i="3"/>
  <c r="N81" i="3"/>
  <c r="L81" i="3"/>
  <c r="M81" i="3" s="1"/>
  <c r="K81" i="3"/>
  <c r="H81" i="3"/>
  <c r="I81" i="3" s="1"/>
  <c r="N80" i="3"/>
  <c r="L80" i="3"/>
  <c r="M80" i="3" s="1"/>
  <c r="K80" i="3"/>
  <c r="H80" i="3"/>
  <c r="N79" i="3"/>
  <c r="L79" i="3"/>
  <c r="M79" i="3" s="1"/>
  <c r="K79" i="3"/>
  <c r="H79" i="3"/>
  <c r="N78" i="3"/>
  <c r="L78" i="3"/>
  <c r="M78" i="3" s="1"/>
  <c r="K78" i="3"/>
  <c r="H78" i="3"/>
  <c r="N77" i="3"/>
  <c r="L77" i="3"/>
  <c r="M77" i="3" s="1"/>
  <c r="K77" i="3"/>
  <c r="H77" i="3"/>
  <c r="N76" i="3"/>
  <c r="L76" i="3"/>
  <c r="M76" i="3" s="1"/>
  <c r="K76" i="3"/>
  <c r="H76" i="3"/>
  <c r="N75" i="3"/>
  <c r="L75" i="3"/>
  <c r="M75" i="3" s="1"/>
  <c r="K75" i="3"/>
  <c r="H75" i="3"/>
  <c r="N74" i="3"/>
  <c r="L74" i="3"/>
  <c r="M74" i="3" s="1"/>
  <c r="K74" i="3"/>
  <c r="H74" i="3"/>
  <c r="I74" i="3" s="1"/>
  <c r="N73" i="3"/>
  <c r="L73" i="3"/>
  <c r="M73" i="3" s="1"/>
  <c r="K73" i="3"/>
  <c r="H73" i="3"/>
  <c r="I73" i="3" s="1"/>
  <c r="N72" i="3"/>
  <c r="L72" i="3"/>
  <c r="M72" i="3" s="1"/>
  <c r="K72" i="3"/>
  <c r="H72" i="3"/>
  <c r="N71" i="3"/>
  <c r="L71" i="3"/>
  <c r="M71" i="3" s="1"/>
  <c r="K71" i="3"/>
  <c r="H71" i="3"/>
  <c r="N70" i="3"/>
  <c r="L70" i="3"/>
  <c r="M70" i="3" s="1"/>
  <c r="K70" i="3"/>
  <c r="H70" i="3"/>
  <c r="I70" i="3" s="1"/>
  <c r="N69" i="3"/>
  <c r="L69" i="3"/>
  <c r="M69" i="3" s="1"/>
  <c r="K69" i="3"/>
  <c r="H69" i="3"/>
  <c r="N68" i="3"/>
  <c r="L68" i="3"/>
  <c r="M68" i="3" s="1"/>
  <c r="K68" i="3"/>
  <c r="H68" i="3"/>
  <c r="N67" i="3"/>
  <c r="L67" i="3"/>
  <c r="M67" i="3" s="1"/>
  <c r="K67" i="3"/>
  <c r="H67" i="3"/>
  <c r="N66" i="3"/>
  <c r="L66" i="3"/>
  <c r="M66" i="3" s="1"/>
  <c r="K66" i="3"/>
  <c r="H66" i="3"/>
  <c r="N65" i="3"/>
  <c r="L65" i="3"/>
  <c r="M65" i="3" s="1"/>
  <c r="K65" i="3"/>
  <c r="H65" i="3"/>
  <c r="I65" i="3" s="1"/>
  <c r="N64" i="3"/>
  <c r="L64" i="3"/>
  <c r="M64" i="3" s="1"/>
  <c r="K64" i="3"/>
  <c r="H64" i="3"/>
  <c r="I64" i="3" s="1"/>
  <c r="N63" i="3"/>
  <c r="L63" i="3"/>
  <c r="M63" i="3" s="1"/>
  <c r="K63" i="3"/>
  <c r="H63" i="3"/>
  <c r="I63" i="3" s="1"/>
  <c r="N62" i="3"/>
  <c r="L62" i="3"/>
  <c r="M62" i="3" s="1"/>
  <c r="K62" i="3"/>
  <c r="H62" i="3"/>
  <c r="N61" i="3"/>
  <c r="L61" i="3"/>
  <c r="M61" i="3" s="1"/>
  <c r="K61" i="3"/>
  <c r="H61" i="3"/>
  <c r="I61" i="3" s="1"/>
  <c r="N60" i="3"/>
  <c r="L60" i="3"/>
  <c r="M60" i="3" s="1"/>
  <c r="K60" i="3"/>
  <c r="H60" i="3"/>
  <c r="I60" i="3" s="1"/>
  <c r="N59" i="3"/>
  <c r="L59" i="3"/>
  <c r="M59" i="3" s="1"/>
  <c r="K59" i="3"/>
  <c r="H59" i="3"/>
  <c r="N58" i="3"/>
  <c r="L58" i="3"/>
  <c r="M58" i="3" s="1"/>
  <c r="K58" i="3"/>
  <c r="H58" i="3"/>
  <c r="N57" i="3"/>
  <c r="L57" i="3"/>
  <c r="M57" i="3" s="1"/>
  <c r="K57" i="3"/>
  <c r="H57" i="3"/>
  <c r="I57" i="3" s="1"/>
  <c r="N56" i="3"/>
  <c r="L56" i="3"/>
  <c r="M56" i="3" s="1"/>
  <c r="K56" i="3"/>
  <c r="H56" i="3"/>
  <c r="I56" i="3" s="1"/>
  <c r="N55" i="3"/>
  <c r="L55" i="3"/>
  <c r="M55" i="3" s="1"/>
  <c r="K55" i="3"/>
  <c r="H55" i="3"/>
  <c r="N54" i="3"/>
  <c r="L54" i="3"/>
  <c r="M54" i="3" s="1"/>
  <c r="K54" i="3"/>
  <c r="H54" i="3"/>
  <c r="I54" i="3" s="1"/>
  <c r="N53" i="3"/>
  <c r="L53" i="3"/>
  <c r="M53" i="3" s="1"/>
  <c r="K53" i="3"/>
  <c r="H53" i="3"/>
  <c r="I53" i="3" s="1"/>
  <c r="N52" i="3"/>
  <c r="L52" i="3"/>
  <c r="M52" i="3" s="1"/>
  <c r="K52" i="3"/>
  <c r="H52" i="3"/>
  <c r="N51" i="3"/>
  <c r="L51" i="3"/>
  <c r="M51" i="3" s="1"/>
  <c r="K51" i="3"/>
  <c r="H51" i="3"/>
  <c r="N50" i="3"/>
  <c r="L50" i="3"/>
  <c r="M50" i="3" s="1"/>
  <c r="K50" i="3"/>
  <c r="H50" i="3"/>
  <c r="N49" i="3"/>
  <c r="L49" i="3"/>
  <c r="M49" i="3" s="1"/>
  <c r="K49" i="3"/>
  <c r="H49" i="3"/>
  <c r="I49" i="3" s="1"/>
  <c r="N48" i="3"/>
  <c r="L48" i="3"/>
  <c r="M48" i="3" s="1"/>
  <c r="K48" i="3"/>
  <c r="H48" i="3"/>
  <c r="I48" i="3" s="1"/>
  <c r="N47" i="3"/>
  <c r="L47" i="3"/>
  <c r="M47" i="3" s="1"/>
  <c r="K47" i="3"/>
  <c r="H47" i="3"/>
  <c r="I47" i="3" s="1"/>
  <c r="N46" i="3"/>
  <c r="L46" i="3"/>
  <c r="M46" i="3" s="1"/>
  <c r="K46" i="3"/>
  <c r="H46" i="3"/>
  <c r="N45" i="3"/>
  <c r="L45" i="3"/>
  <c r="M45" i="3" s="1"/>
  <c r="K45" i="3"/>
  <c r="H45" i="3"/>
  <c r="I45" i="3" s="1"/>
  <c r="N44" i="3"/>
  <c r="L44" i="3"/>
  <c r="M44" i="3" s="1"/>
  <c r="K44" i="3"/>
  <c r="H44" i="3"/>
  <c r="N43" i="3"/>
  <c r="L43" i="3"/>
  <c r="M43" i="3" s="1"/>
  <c r="K43" i="3"/>
  <c r="H43" i="3"/>
  <c r="I43" i="3" s="1"/>
  <c r="N42" i="3"/>
  <c r="L42" i="3"/>
  <c r="M42" i="3" s="1"/>
  <c r="K42" i="3"/>
  <c r="H42" i="3"/>
  <c r="N41" i="3"/>
  <c r="L41" i="3"/>
  <c r="M41" i="3" s="1"/>
  <c r="K41" i="3"/>
  <c r="H41" i="3"/>
  <c r="I41" i="3" s="1"/>
  <c r="N40" i="3"/>
  <c r="L40" i="3"/>
  <c r="M40" i="3" s="1"/>
  <c r="K40" i="3"/>
  <c r="H40" i="3"/>
  <c r="N39" i="3"/>
  <c r="L39" i="3"/>
  <c r="M39" i="3" s="1"/>
  <c r="K39" i="3"/>
  <c r="H39" i="3"/>
  <c r="N38" i="3"/>
  <c r="L38" i="3"/>
  <c r="M38" i="3" s="1"/>
  <c r="K38" i="3"/>
  <c r="H38" i="3"/>
  <c r="N37" i="3"/>
  <c r="L37" i="3"/>
  <c r="M37" i="3" s="1"/>
  <c r="K37" i="3"/>
  <c r="H37" i="3"/>
  <c r="I37" i="3" s="1"/>
  <c r="N36" i="3"/>
  <c r="L36" i="3"/>
  <c r="M36" i="3" s="1"/>
  <c r="K36" i="3"/>
  <c r="H36" i="3"/>
  <c r="I36" i="3" s="1"/>
  <c r="N35" i="3"/>
  <c r="L35" i="3"/>
  <c r="M35" i="3" s="1"/>
  <c r="K35" i="3"/>
  <c r="H35" i="3"/>
  <c r="N34" i="3"/>
  <c r="L34" i="3"/>
  <c r="M34" i="3" s="1"/>
  <c r="K34" i="3"/>
  <c r="H34" i="3"/>
  <c r="I34" i="3" s="1"/>
  <c r="N33" i="3"/>
  <c r="L33" i="3"/>
  <c r="M33" i="3" s="1"/>
  <c r="K33" i="3"/>
  <c r="H33" i="3"/>
  <c r="I33" i="3" s="1"/>
  <c r="N32" i="3"/>
  <c r="L32" i="3"/>
  <c r="M32" i="3" s="1"/>
  <c r="K32" i="3"/>
  <c r="H32" i="3"/>
  <c r="N31" i="3"/>
  <c r="L31" i="3"/>
  <c r="M31" i="3" s="1"/>
  <c r="K31" i="3"/>
  <c r="H31" i="3"/>
  <c r="N30" i="3"/>
  <c r="L30" i="3"/>
  <c r="M30" i="3" s="1"/>
  <c r="K30" i="3"/>
  <c r="H30" i="3"/>
  <c r="I30" i="3" s="1"/>
  <c r="N29" i="3"/>
  <c r="L29" i="3"/>
  <c r="M29" i="3" s="1"/>
  <c r="K29" i="3"/>
  <c r="H29" i="3"/>
  <c r="N28" i="3"/>
  <c r="L28" i="3"/>
  <c r="M28" i="3" s="1"/>
  <c r="K28" i="3"/>
  <c r="H28" i="3"/>
  <c r="N27" i="3"/>
  <c r="L27" i="3"/>
  <c r="M27" i="3" s="1"/>
  <c r="K27" i="3"/>
  <c r="H27" i="3"/>
  <c r="I27" i="3" s="1"/>
  <c r="N26" i="3"/>
  <c r="L26" i="3"/>
  <c r="M26" i="3" s="1"/>
  <c r="K26" i="3"/>
  <c r="H26" i="3"/>
  <c r="N25" i="3"/>
  <c r="L25" i="3"/>
  <c r="M25" i="3" s="1"/>
  <c r="K25" i="3"/>
  <c r="H25" i="3"/>
  <c r="I25" i="3" s="1"/>
  <c r="N24" i="3"/>
  <c r="L24" i="3"/>
  <c r="M24" i="3" s="1"/>
  <c r="K24" i="3"/>
  <c r="H24" i="3"/>
  <c r="I24" i="3" s="1"/>
  <c r="N23" i="3"/>
  <c r="L23" i="3"/>
  <c r="M23" i="3" s="1"/>
  <c r="K23" i="3"/>
  <c r="H23" i="3"/>
  <c r="N22" i="3"/>
  <c r="L22" i="3"/>
  <c r="M22" i="3" s="1"/>
  <c r="K22" i="3"/>
  <c r="H22" i="3"/>
  <c r="N21" i="3"/>
  <c r="L21" i="3"/>
  <c r="M21" i="3" s="1"/>
  <c r="K21" i="3"/>
  <c r="H21" i="3"/>
  <c r="I21" i="3" s="1"/>
  <c r="N20" i="3"/>
  <c r="L20" i="3"/>
  <c r="M20" i="3" s="1"/>
  <c r="K20" i="3"/>
  <c r="H20" i="3"/>
  <c r="N19" i="3"/>
  <c r="L19" i="3"/>
  <c r="M19" i="3" s="1"/>
  <c r="K19" i="3"/>
  <c r="H19" i="3"/>
  <c r="N18" i="3"/>
  <c r="L18" i="3"/>
  <c r="M18" i="3" s="1"/>
  <c r="K18" i="3"/>
  <c r="H18" i="3"/>
  <c r="N17" i="3"/>
  <c r="L17" i="3"/>
  <c r="M17" i="3" s="1"/>
  <c r="K17" i="3"/>
  <c r="H17" i="3"/>
  <c r="I17" i="3" s="1"/>
  <c r="N16" i="3"/>
  <c r="L16" i="3"/>
  <c r="M16" i="3" s="1"/>
  <c r="K16" i="3"/>
  <c r="H16" i="3"/>
  <c r="I16" i="3" s="1"/>
  <c r="N15" i="3"/>
  <c r="L15" i="3"/>
  <c r="M15" i="3" s="1"/>
  <c r="K15" i="3"/>
  <c r="H15" i="3"/>
  <c r="N14" i="3"/>
  <c r="L14" i="3"/>
  <c r="M14" i="3" s="1"/>
  <c r="K14" i="3"/>
  <c r="H14" i="3"/>
  <c r="I14" i="3" s="1"/>
  <c r="N13" i="3"/>
  <c r="L13" i="3"/>
  <c r="M13" i="3" s="1"/>
  <c r="K13" i="3"/>
  <c r="H13" i="3"/>
  <c r="I13" i="3" s="1"/>
  <c r="N12" i="3"/>
  <c r="L12" i="3"/>
  <c r="M12" i="3" s="1"/>
  <c r="K12" i="3"/>
  <c r="H12" i="3"/>
  <c r="N11" i="3"/>
  <c r="L11" i="3"/>
  <c r="M11" i="3" s="1"/>
  <c r="K11" i="3"/>
  <c r="H11" i="3"/>
  <c r="I11" i="3" s="1"/>
  <c r="N10" i="3"/>
  <c r="L10" i="3"/>
  <c r="M10" i="3" s="1"/>
  <c r="K10" i="3"/>
  <c r="H10" i="3"/>
  <c r="N9" i="3"/>
  <c r="L9" i="3"/>
  <c r="M9" i="3" s="1"/>
  <c r="K9" i="3"/>
  <c r="H9" i="3"/>
  <c r="N8" i="3"/>
  <c r="L8" i="3"/>
  <c r="M8" i="3" s="1"/>
  <c r="K8" i="3"/>
  <c r="H8" i="3"/>
  <c r="I8" i="3" s="1"/>
  <c r="N7" i="3"/>
  <c r="L7" i="3"/>
  <c r="M7" i="3" s="1"/>
  <c r="K7" i="3"/>
  <c r="H7" i="3"/>
  <c r="N6" i="3"/>
  <c r="L6" i="3"/>
  <c r="M6" i="3" s="1"/>
  <c r="K6" i="3"/>
  <c r="H6" i="3"/>
  <c r="N5" i="3"/>
  <c r="L5" i="3"/>
  <c r="M5" i="3" s="1"/>
  <c r="K5" i="3"/>
  <c r="H5" i="3"/>
  <c r="I5" i="3" s="1"/>
  <c r="N4" i="3"/>
  <c r="L4" i="3"/>
  <c r="M4" i="3" s="1"/>
  <c r="K4" i="3"/>
  <c r="H4" i="3"/>
  <c r="N3" i="3"/>
  <c r="L3" i="3"/>
  <c r="M3" i="3" s="1"/>
  <c r="K3" i="3"/>
  <c r="H3" i="3"/>
  <c r="N2" i="3"/>
  <c r="L2" i="3"/>
  <c r="M2" i="3" s="1"/>
  <c r="K2" i="3"/>
  <c r="H2" i="3"/>
  <c r="J15" i="3" l="1"/>
  <c r="J39" i="3"/>
  <c r="J80" i="3"/>
  <c r="J75" i="3"/>
  <c r="J18" i="3"/>
  <c r="J11" i="3"/>
  <c r="J76" i="3"/>
  <c r="J67" i="3"/>
  <c r="J40" i="3"/>
  <c r="J51" i="3"/>
  <c r="J71" i="3"/>
  <c r="J42" i="3"/>
  <c r="J17" i="3"/>
  <c r="I4" i="3"/>
  <c r="J4" i="3" s="1"/>
  <c r="J37" i="3"/>
  <c r="J48" i="3"/>
  <c r="J41" i="3"/>
  <c r="I44" i="3"/>
  <c r="J44" i="3" s="1"/>
  <c r="I72" i="3"/>
  <c r="J72" i="3" s="1"/>
  <c r="J81" i="3"/>
  <c r="I77" i="3"/>
  <c r="J77" i="3" s="1"/>
  <c r="J21" i="3"/>
  <c r="J49" i="3"/>
  <c r="I68" i="3"/>
  <c r="J68" i="3" s="1"/>
  <c r="I52" i="3"/>
  <c r="J52" i="3" s="1"/>
  <c r="I12" i="3"/>
  <c r="J12" i="3" s="1"/>
  <c r="J64" i="3"/>
  <c r="J8" i="3"/>
  <c r="J25" i="3"/>
  <c r="J54" i="3"/>
  <c r="I58" i="3"/>
  <c r="J58" i="3" s="1"/>
  <c r="J34" i="3"/>
  <c r="I38" i="3"/>
  <c r="J38" i="3" s="1"/>
  <c r="I84" i="3"/>
  <c r="J84" i="3" s="1"/>
  <c r="J5" i="3"/>
  <c r="J14" i="3"/>
  <c r="I18" i="3"/>
  <c r="I32" i="3"/>
  <c r="J32" i="3" s="1"/>
  <c r="J61" i="3"/>
  <c r="J24" i="3"/>
  <c r="I28" i="3"/>
  <c r="J28" i="3" s="1"/>
  <c r="J57" i="3"/>
  <c r="J45" i="3"/>
  <c r="J74" i="3"/>
  <c r="I78" i="3"/>
  <c r="J78" i="3" s="1"/>
  <c r="J65" i="3"/>
  <c r="J47" i="3"/>
  <c r="J27" i="3"/>
  <c r="J73" i="3"/>
  <c r="I76" i="3"/>
  <c r="J36" i="3"/>
  <c r="I39" i="3"/>
  <c r="I79" i="3"/>
  <c r="J79" i="3" s="1"/>
  <c r="I2" i="3"/>
  <c r="J2" i="3" s="1"/>
  <c r="I42" i="3"/>
  <c r="J33" i="3"/>
  <c r="J53" i="3"/>
  <c r="J16" i="3"/>
  <c r="I19" i="3"/>
  <c r="J19" i="3" s="1"/>
  <c r="J56" i="3"/>
  <c r="I59" i="3"/>
  <c r="J59" i="3" s="1"/>
  <c r="I22" i="3"/>
  <c r="J22" i="3" s="1"/>
  <c r="I62" i="3"/>
  <c r="J62" i="3" s="1"/>
  <c r="I82" i="3"/>
  <c r="J82" i="3" s="1"/>
  <c r="I85" i="3"/>
  <c r="J85" i="3" s="1"/>
  <c r="J30" i="3"/>
  <c r="J13" i="3"/>
  <c r="J70" i="3"/>
  <c r="I31" i="3"/>
  <c r="J31" i="3" s="1"/>
  <c r="I51" i="3"/>
  <c r="I71" i="3"/>
  <c r="I40" i="3"/>
  <c r="I80" i="3"/>
  <c r="I83" i="3"/>
  <c r="J83" i="3" s="1"/>
  <c r="I50" i="3"/>
  <c r="J50" i="3" s="1"/>
  <c r="I20" i="3"/>
  <c r="J20" i="3" s="1"/>
  <c r="J60" i="3"/>
  <c r="I6" i="3"/>
  <c r="J6" i="3" s="1"/>
  <c r="J43" i="3"/>
  <c r="I46" i="3"/>
  <c r="J46" i="3" s="1"/>
  <c r="J63" i="3"/>
  <c r="I66" i="3"/>
  <c r="J66" i="3" s="1"/>
  <c r="I86" i="3"/>
  <c r="J86" i="3" s="1"/>
  <c r="I23" i="3"/>
  <c r="J23" i="3" s="1"/>
  <c r="I26" i="3"/>
  <c r="J26" i="3" s="1"/>
  <c r="I9" i="3"/>
  <c r="J9" i="3" s="1"/>
  <c r="I29" i="3"/>
  <c r="J29" i="3" s="1"/>
  <c r="I69" i="3"/>
  <c r="J69" i="3" s="1"/>
  <c r="I10" i="3"/>
  <c r="J10" i="3" s="1"/>
  <c r="I15" i="3"/>
  <c r="I35" i="3"/>
  <c r="J35" i="3" s="1"/>
  <c r="I55" i="3"/>
  <c r="J55" i="3" s="1"/>
  <c r="I75" i="3"/>
  <c r="I7" i="3"/>
  <c r="J7" i="3" s="1"/>
  <c r="I67" i="3"/>
  <c r="I3" i="3"/>
  <c r="J3" i="3" s="1"/>
</calcChain>
</file>

<file path=xl/sharedStrings.xml><?xml version="1.0" encoding="utf-8"?>
<sst xmlns="http://schemas.openxmlformats.org/spreadsheetml/2006/main" count="401" uniqueCount="68">
  <si>
    <t>schedule_id</t>
  </si>
  <si>
    <t>candidate_type</t>
  </si>
  <si>
    <t>yield_mean_weather_kg_ha</t>
  </si>
  <si>
    <t>optimized_irrigation_excl_establishment_mm</t>
  </si>
  <si>
    <t>total_n_kg_ha</t>
  </si>
  <si>
    <t>optimized_irrigation_frequency_excl_establishment</t>
  </si>
  <si>
    <t>nitrogen_application_frequency</t>
  </si>
  <si>
    <t>notes</t>
  </si>
  <si>
    <t>COMP</t>
  </si>
  <si>
    <t>Compromise</t>
  </si>
  <si>
    <t>HY01</t>
  </si>
  <si>
    <t>HY</t>
  </si>
  <si>
    <t>HY02</t>
  </si>
  <si>
    <t>HY03</t>
  </si>
  <si>
    <t>HY04</t>
  </si>
  <si>
    <t>HY05</t>
  </si>
  <si>
    <t>HY06</t>
  </si>
  <si>
    <t>HY07</t>
  </si>
  <si>
    <t>HY08</t>
  </si>
  <si>
    <t>HY09</t>
  </si>
  <si>
    <t>HY10</t>
  </si>
  <si>
    <t>HY11</t>
  </si>
  <si>
    <t>HY12</t>
  </si>
  <si>
    <t>HY13</t>
  </si>
  <si>
    <t>HY14</t>
  </si>
  <si>
    <t>HY15</t>
  </si>
  <si>
    <t>HY16</t>
  </si>
  <si>
    <t>weather_year</t>
  </si>
  <si>
    <t>yield_kg_ha</t>
  </si>
  <si>
    <t>wpc_kg_m3</t>
  </si>
  <si>
    <t>pen_kg_kg</t>
  </si>
  <si>
    <t>gnc_pct</t>
  </si>
  <si>
    <t>establishment_irrigation_mm</t>
  </si>
  <si>
    <t>total_irrigation_accounted_mm</t>
  </si>
  <si>
    <t>total_irrigation_frequency_accounted</t>
  </si>
  <si>
    <t>simulation_status</t>
  </si>
  <si>
    <t>total_irrigation_mm</t>
  </si>
  <si>
    <t>irrigation_frequency</t>
  </si>
  <si>
    <t>parameter</t>
  </si>
  <si>
    <t>level</t>
  </si>
  <si>
    <t>value</t>
  </si>
  <si>
    <t>unit</t>
  </si>
  <si>
    <t>source_or_derivation</t>
  </si>
  <si>
    <t>maize_price</t>
  </si>
  <si>
    <t>Low</t>
  </si>
  <si>
    <t>yuan/kg</t>
  </si>
  <si>
    <t>80% of medium</t>
  </si>
  <si>
    <t>Medium</t>
  </si>
  <si>
    <t>Regional market price</t>
  </si>
  <si>
    <t>High</t>
  </si>
  <si>
    <t>120% of medium</t>
  </si>
  <si>
    <t>N_cost</t>
  </si>
  <si>
    <t>yuan/kg N</t>
  </si>
  <si>
    <t>2.20 yuan/kg urea divided by 0.46</t>
  </si>
  <si>
    <t>Elemental-N basis</t>
  </si>
  <si>
    <t>irrigation_electricity_cost</t>
  </si>
  <si>
    <t>yuan/ha/mm</t>
  </si>
  <si>
    <t>10 × 0.169 kWh/m3 × 0.338 yuan/kWh</t>
  </si>
  <si>
    <t>eta = 0.60</t>
  </si>
  <si>
    <t>irrigation_operation_cost</t>
  </si>
  <si>
    <t>yuan/ha/event</t>
  </si>
  <si>
    <t>Baseline operation cost</t>
  </si>
  <si>
    <t>fertigation_operation_cost</t>
  </si>
  <si>
    <t>Baseline additional fertigation cost</t>
  </si>
  <si>
    <t>wpc_mean_weather_kg_m3</t>
    <phoneticPr fontId="4" type="noConversion"/>
  </si>
  <si>
    <t>pen_mean_weather_kg_kg</t>
    <phoneticPr fontId="4" type="noConversion"/>
  </si>
  <si>
    <t>gnc_mean_weather_pct</t>
    <phoneticPr fontId="4" type="noConversion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</si>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</sst>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9"/>
      <color rgb="FF1F2937"/>
      <name val="Aptos"/>
      <family val="2"/>
    </font>
    <font>
      <b/>
      <sz val="9"/>
      <color rgb="FFFFFFFF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9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F6D73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C7D1DB"/>
      </left>
      <right style="thin">
        <color rgb="FFC7D1DB"/>
      </right>
      <top style="thin">
        <color rgb="FFC7D1DB"/>
      </top>
      <bottom style="thin">
        <color rgb="FFC7D1DB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7D1DB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6" borderId="2" xfId="1" applyFont="1" applyFill="1" applyBorder="1" applyAlignment="1">
      <alignment vertical="center"/>
    </xf>
    <xf numFmtId="4" fontId="1" fillId="3" borderId="2" xfId="1" applyNumberFormat="1" applyFont="1" applyFill="1" applyBorder="1" applyAlignment="1">
      <alignment vertical="center"/>
    </xf>
    <xf numFmtId="1" fontId="1" fillId="3" borderId="2" xfId="1" applyNumberFormat="1" applyFont="1" applyFill="1" applyBorder="1" applyAlignment="1">
      <alignment vertical="center"/>
    </xf>
    <xf numFmtId="0" fontId="1" fillId="3" borderId="2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4" fontId="1" fillId="3" borderId="3" xfId="1" applyNumberFormat="1" applyFont="1" applyFill="1" applyBorder="1" applyAlignment="1">
      <alignment vertical="center"/>
    </xf>
    <xf numFmtId="1" fontId="1" fillId="3" borderId="3" xfId="1" applyNumberFormat="1" applyFont="1" applyFill="1" applyBorder="1" applyAlignment="1">
      <alignment vertical="center"/>
    </xf>
    <xf numFmtId="0" fontId="1" fillId="3" borderId="3" xfId="1" applyFont="1" applyFill="1" applyBorder="1" applyAlignment="1">
      <alignment vertical="center"/>
    </xf>
    <xf numFmtId="0" fontId="1" fillId="6" borderId="4" xfId="1" applyFont="1" applyFill="1" applyBorder="1" applyAlignment="1">
      <alignment vertical="center"/>
    </xf>
    <xf numFmtId="4" fontId="1" fillId="3" borderId="4" xfId="1" applyNumberFormat="1" applyFont="1" applyFill="1" applyBorder="1" applyAlignment="1">
      <alignment vertical="center"/>
    </xf>
    <xf numFmtId="1" fontId="1" fillId="3" borderId="4" xfId="1" applyNumberFormat="1" applyFont="1" applyFill="1" applyBorder="1" applyAlignment="1">
      <alignment vertical="center"/>
    </xf>
    <xf numFmtId="0" fontId="1" fillId="3" borderId="4" xfId="1" applyFont="1" applyFill="1" applyBorder="1" applyAlignment="1">
      <alignment vertical="center"/>
    </xf>
    <xf numFmtId="2" fontId="1" fillId="3" borderId="2" xfId="1" applyNumberFormat="1" applyFont="1" applyFill="1" applyBorder="1" applyAlignment="1">
      <alignment vertical="center"/>
    </xf>
    <xf numFmtId="2" fontId="1" fillId="3" borderId="3" xfId="1" applyNumberFormat="1" applyFont="1" applyFill="1" applyBorder="1" applyAlignment="1">
      <alignment vertical="center"/>
    </xf>
    <xf numFmtId="2" fontId="1" fillId="3" borderId="4" xfId="1" applyNumberFormat="1" applyFont="1" applyFill="1" applyBorder="1" applyAlignment="1">
      <alignment vertical="center"/>
    </xf>
    <xf numFmtId="2" fontId="1" fillId="5" borderId="2" xfId="1" applyNumberFormat="1" applyFont="1" applyFill="1" applyBorder="1" applyAlignment="1">
      <alignment vertical="center"/>
    </xf>
    <xf numFmtId="1" fontId="1" fillId="5" borderId="2" xfId="1" applyNumberFormat="1" applyFont="1" applyFill="1" applyBorder="1" applyAlignment="1">
      <alignment vertical="center"/>
    </xf>
    <xf numFmtId="2" fontId="1" fillId="5" borderId="3" xfId="1" applyNumberFormat="1" applyFont="1" applyFill="1" applyBorder="1" applyAlignment="1">
      <alignment vertical="center"/>
    </xf>
    <xf numFmtId="1" fontId="1" fillId="5" borderId="3" xfId="1" applyNumberFormat="1" applyFont="1" applyFill="1" applyBorder="1" applyAlignment="1">
      <alignment vertical="center"/>
    </xf>
    <xf numFmtId="2" fontId="1" fillId="5" borderId="4" xfId="1" applyNumberFormat="1" applyFont="1" applyFill="1" applyBorder="1" applyAlignment="1">
      <alignment vertical="center"/>
    </xf>
    <xf numFmtId="1" fontId="1" fillId="5" borderId="4" xfId="1" applyNumberFormat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3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vertical="center"/>
    </xf>
    <xf numFmtId="4" fontId="5" fillId="3" borderId="2" xfId="1" applyNumberFormat="1" applyFont="1" applyFill="1" applyBorder="1" applyAlignment="1">
      <alignment vertical="center"/>
    </xf>
    <xf numFmtId="2" fontId="5" fillId="3" borderId="2" xfId="1" applyNumberFormat="1" applyFont="1" applyFill="1" applyBorder="1" applyAlignment="1">
      <alignment vertical="center"/>
    </xf>
    <xf numFmtId="2" fontId="5" fillId="4" borderId="2" xfId="1" applyNumberFormat="1" applyFont="1" applyFill="1" applyBorder="1" applyAlignment="1">
      <alignment vertical="center"/>
    </xf>
    <xf numFmtId="1" fontId="5" fillId="4" borderId="2" xfId="1" applyNumberFormat="1" applyFont="1" applyFill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3" fillId="0" borderId="0" xfId="0" applyFont="1"/>
    <xf numFmtId="0" fontId="5" fillId="6" borderId="3" xfId="1" applyFont="1" applyFill="1" applyBorder="1" applyAlignment="1">
      <alignment vertical="center"/>
    </xf>
    <xf numFmtId="4" fontId="5" fillId="3" borderId="3" xfId="1" applyNumberFormat="1" applyFont="1" applyFill="1" applyBorder="1" applyAlignment="1">
      <alignment vertical="center"/>
    </xf>
    <xf numFmtId="2" fontId="5" fillId="3" borderId="3" xfId="1" applyNumberFormat="1" applyFont="1" applyFill="1" applyBorder="1" applyAlignment="1">
      <alignment vertical="center"/>
    </xf>
    <xf numFmtId="2" fontId="5" fillId="4" borderId="3" xfId="1" applyNumberFormat="1" applyFont="1" applyFill="1" applyBorder="1" applyAlignment="1">
      <alignment vertical="center"/>
    </xf>
    <xf numFmtId="1" fontId="5" fillId="4" borderId="3" xfId="1" applyNumberFormat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</xf>
    <xf numFmtId="4" fontId="5" fillId="3" borderId="4" xfId="1" applyNumberFormat="1" applyFont="1" applyFill="1" applyBorder="1" applyAlignment="1">
      <alignment vertical="center"/>
    </xf>
    <xf numFmtId="2" fontId="5" fillId="3" borderId="4" xfId="1" applyNumberFormat="1" applyFont="1" applyFill="1" applyBorder="1" applyAlignment="1">
      <alignment vertical="center"/>
    </xf>
    <xf numFmtId="2" fontId="5" fillId="4" borderId="4" xfId="1" applyNumberFormat="1" applyFont="1" applyFill="1" applyBorder="1" applyAlignment="1">
      <alignment vertical="center"/>
    </xf>
    <xf numFmtId="1" fontId="5" fillId="4" borderId="4" xfId="1" applyNumberFormat="1" applyFont="1" applyFill="1" applyBorder="1" applyAlignment="1">
      <alignment vertical="center"/>
    </xf>
    <xf numFmtId="0" fontId="5" fillId="3" borderId="4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ptos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ptos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ptos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eManagementTable" displayName="CandidateManagementTable" ref="A1:K18" totalsRowShown="0">
  <tableColumns count="11">
    <tableColumn id="1" xr3:uid="{00000000-0010-0000-0000-000001000000}" name="schedule_id"/>
    <tableColumn id="2" xr3:uid="{00000000-0010-0000-0000-000002000000}" name="candidate_type"/>
    <tableColumn id="3" xr3:uid="{00000000-0010-0000-0000-000003000000}" name="yield_mean_weather_kg_ha"/>
    <tableColumn id="11" xr3:uid="{A799D7C7-93C6-4948-BD06-6D5C371F66F7}" name="wpc_mean_weather_kg_m3" dataDxfId="2" dataCellStyle="Normal"/>
    <tableColumn id="10" xr3:uid="{21814205-B7E8-4840-AFDD-B736FE095963}" name="pen_mean_weather_kg_kg" dataDxfId="1" dataCellStyle="Normal"/>
    <tableColumn id="9" xr3:uid="{C9A1A98C-B925-4309-9FFE-0AA80F721A91}" name="gnc_mean_weather_pct" dataDxfId="0" dataCellStyle="Normal"/>
    <tableColumn id="4" xr3:uid="{00000000-0010-0000-0000-000004000000}" name="optimized_irrigation_excl_establishment_mm"/>
    <tableColumn id="5" xr3:uid="{00000000-0010-0000-0000-000005000000}" name="total_n_kg_ha"/>
    <tableColumn id="6" xr3:uid="{00000000-0010-0000-0000-000006000000}" name="optimized_irrigation_frequency_excl_establishment"/>
    <tableColumn id="7" xr3:uid="{00000000-0010-0000-0000-000007000000}" name="nitrogen_application_frequency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didateYearResultsTable" displayName="CandidateYearResultsTable" ref="A1:P86" totalsRowShown="0">
  <tableColumns count="16">
    <tableColumn id="1" xr3:uid="{00000000-0010-0000-0100-000001000000}" name="schedule_id"/>
    <tableColumn id="2" xr3:uid="{00000000-0010-0000-0100-000002000000}" name="candidate_type"/>
    <tableColumn id="3" xr3:uid="{00000000-0010-0000-0100-000003000000}" name="weather_year"/>
    <tableColumn id="4" xr3:uid="{00000000-0010-0000-0100-000004000000}" name="yield_kg_ha"/>
    <tableColumn id="5" xr3:uid="{00000000-0010-0000-0100-000005000000}" name="wpc_kg_m3"/>
    <tableColumn id="6" xr3:uid="{00000000-0010-0000-0100-000006000000}" name="pen_kg_kg"/>
    <tableColumn id="7" xr3:uid="{00000000-0010-0000-0100-000007000000}" name="gnc_pct"/>
    <tableColumn id="8" xr3:uid="{00000000-0010-0000-0100-000008000000}" name="optimized_irrigation_excl_establishment_mm"/>
    <tableColumn id="9" xr3:uid="{00000000-0010-0000-0100-000009000000}" name="establishment_irrigation_mm"/>
    <tableColumn id="10" xr3:uid="{00000000-0010-0000-0100-00000A000000}" name="total_irrigation_accounted_mm"/>
    <tableColumn id="11" xr3:uid="{00000000-0010-0000-0100-00000B000000}" name="total_n_kg_ha"/>
    <tableColumn id="12" xr3:uid="{00000000-0010-0000-0100-00000C000000}" name="optimized_irrigation_frequency_excl_establishment"/>
    <tableColumn id="13" xr3:uid="{00000000-0010-0000-0100-00000D000000}" name="total_irrigation_frequency_accounted"/>
    <tableColumn id="14" xr3:uid="{00000000-0010-0000-0100-00000E000000}" name="nitrogen_application_frequency"/>
    <tableColumn id="15" xr3:uid="{00000000-0010-0000-0100-00000F000000}" name="simulation_status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rmerYearResultsTable" displayName="FarmerYearResultsTable" ref="A1:L6" totalsRowShown="0">
  <tableColumns count="12">
    <tableColumn id="1" xr3:uid="{00000000-0010-0000-0200-000001000000}" name="weather_year"/>
    <tableColumn id="2" xr3:uid="{00000000-0010-0000-0200-000002000000}" name="yield_kg_ha"/>
    <tableColumn id="3" xr3:uid="{00000000-0010-0000-0200-000003000000}" name="wpc_kg_m3"/>
    <tableColumn id="4" xr3:uid="{00000000-0010-0000-0200-000004000000}" name="pen_kg_kg"/>
    <tableColumn id="5" xr3:uid="{00000000-0010-0000-0200-000005000000}" name="gnc_pct"/>
    <tableColumn id="6" xr3:uid="{00000000-0010-0000-0200-000006000000}" name="total_irrigation_mm"/>
    <tableColumn id="7" xr3:uid="{00000000-0010-0000-0200-000007000000}" name="establishment_irrigation_mm"/>
    <tableColumn id="8" xr3:uid="{00000000-0010-0000-0200-000008000000}" name="total_n_kg_ha"/>
    <tableColumn id="9" xr3:uid="{00000000-0010-0000-0200-000009000000}" name="irrigation_frequency"/>
    <tableColumn id="10" xr3:uid="{00000000-0010-0000-0200-00000A000000}" name="nitrogen_application_frequency"/>
    <tableColumn id="11" xr3:uid="{00000000-0010-0000-0200-00000B000000}" name="simulation_status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conomicParametersTable" displayName="EconomicParametersTable" ref="A1:F16" totalsRowShown="0">
  <tableColumns count="6">
    <tableColumn id="1" xr3:uid="{00000000-0010-0000-0300-000001000000}" name="parameter"/>
    <tableColumn id="2" xr3:uid="{00000000-0010-0000-0300-000002000000}" name="level"/>
    <tableColumn id="3" xr3:uid="{00000000-0010-0000-0300-000003000000}" name="value"/>
    <tableColumn id="4" xr3:uid="{00000000-0010-0000-0300-000004000000}" name="unit"/>
    <tableColumn id="5" xr3:uid="{00000000-0010-0000-0300-000005000000}" name="source_or_derivation"/>
    <tableColumn id="6" xr3:uid="{00000000-0010-0000-03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topLeftCell="D1" workbookViewId="0">
      <selection activeCell="F24" sqref="F24"/>
    </sheetView>
  </sheetViews>
  <sheetFormatPr defaultRowHeight="14"/>
  <cols>
    <col min="1" max="1" width="12.08203125" customWidth="1"/>
    <col min="2" max="2" width="14.58203125" customWidth="1"/>
    <col min="3" max="6" width="22" customWidth="1"/>
    <col min="7" max="7" width="30" customWidth="1"/>
    <col min="8" max="8" width="13.6640625" customWidth="1"/>
    <col min="9" max="11" width="28" customWidth="1"/>
  </cols>
  <sheetData>
    <row r="1" spans="1:11" ht="42" customHeight="1">
      <c r="A1" s="25" t="s">
        <v>0</v>
      </c>
      <c r="B1" s="25" t="s">
        <v>1</v>
      </c>
      <c r="C1" s="25" t="s">
        <v>2</v>
      </c>
      <c r="D1" s="25" t="s">
        <v>64</v>
      </c>
      <c r="E1" s="25" t="s">
        <v>65</v>
      </c>
      <c r="F1" s="25" t="s">
        <v>66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</row>
    <row r="2" spans="1:11">
      <c r="A2" s="1" t="s">
        <v>8</v>
      </c>
      <c r="B2" s="1" t="s">
        <v>9</v>
      </c>
      <c r="C2" s="2">
        <v>11481</v>
      </c>
      <c r="D2" s="2">
        <v>2.85</v>
      </c>
      <c r="E2" s="2">
        <v>47.8</v>
      </c>
      <c r="F2" s="2">
        <v>1.65</v>
      </c>
      <c r="G2" s="2">
        <v>200</v>
      </c>
      <c r="H2" s="2">
        <v>300</v>
      </c>
      <c r="I2" s="3">
        <v>5</v>
      </c>
      <c r="J2" s="3">
        <v>3</v>
      </c>
      <c r="K2" s="4"/>
    </row>
    <row r="3" spans="1:11">
      <c r="A3" s="5" t="s">
        <v>10</v>
      </c>
      <c r="B3" s="5" t="s">
        <v>11</v>
      </c>
      <c r="C3" s="6">
        <v>12014</v>
      </c>
      <c r="D3" s="6">
        <v>2.8899999999999997</v>
      </c>
      <c r="E3" s="6">
        <v>45</v>
      </c>
      <c r="F3" s="6">
        <v>1.7</v>
      </c>
      <c r="G3" s="6">
        <v>205</v>
      </c>
      <c r="H3" s="6">
        <v>270</v>
      </c>
      <c r="I3" s="7">
        <v>4</v>
      </c>
      <c r="J3" s="7">
        <v>1</v>
      </c>
      <c r="K3" s="8"/>
    </row>
    <row r="4" spans="1:11">
      <c r="A4" s="5" t="s">
        <v>12</v>
      </c>
      <c r="B4" s="5" t="s">
        <v>11</v>
      </c>
      <c r="C4" s="6">
        <v>12007</v>
      </c>
      <c r="D4" s="6">
        <v>2.87</v>
      </c>
      <c r="E4" s="6">
        <v>45.1</v>
      </c>
      <c r="F4" s="6">
        <v>1.7</v>
      </c>
      <c r="G4" s="6">
        <v>260</v>
      </c>
      <c r="H4" s="6">
        <v>330</v>
      </c>
      <c r="I4" s="7">
        <v>6</v>
      </c>
      <c r="J4" s="7">
        <v>3</v>
      </c>
      <c r="K4" s="8"/>
    </row>
    <row r="5" spans="1:11">
      <c r="A5" s="5" t="s">
        <v>13</v>
      </c>
      <c r="B5" s="5" t="s">
        <v>11</v>
      </c>
      <c r="C5" s="6">
        <v>11997</v>
      </c>
      <c r="D5" s="6">
        <v>2.95</v>
      </c>
      <c r="E5" s="6">
        <v>44.9</v>
      </c>
      <c r="F5" s="6">
        <v>1.7</v>
      </c>
      <c r="G5" s="6">
        <v>190</v>
      </c>
      <c r="H5" s="6">
        <v>360</v>
      </c>
      <c r="I5" s="7">
        <v>4</v>
      </c>
      <c r="J5" s="7">
        <v>3</v>
      </c>
      <c r="K5" s="8"/>
    </row>
    <row r="6" spans="1:11">
      <c r="A6" s="5" t="s">
        <v>14</v>
      </c>
      <c r="B6" s="5" t="s">
        <v>11</v>
      </c>
      <c r="C6" s="6">
        <v>11991</v>
      </c>
      <c r="D6" s="6">
        <v>2.96</v>
      </c>
      <c r="E6" s="6">
        <v>44.9</v>
      </c>
      <c r="F6" s="6">
        <v>1.7</v>
      </c>
      <c r="G6" s="6">
        <v>215</v>
      </c>
      <c r="H6" s="6">
        <v>300</v>
      </c>
      <c r="I6" s="7">
        <v>4</v>
      </c>
      <c r="J6" s="7">
        <v>4</v>
      </c>
      <c r="K6" s="8"/>
    </row>
    <row r="7" spans="1:11">
      <c r="A7" s="5" t="s">
        <v>15</v>
      </c>
      <c r="B7" s="5" t="s">
        <v>11</v>
      </c>
      <c r="C7" s="6">
        <v>11990</v>
      </c>
      <c r="D7" s="6">
        <v>2.8600000000000003</v>
      </c>
      <c r="E7" s="6">
        <v>44.9</v>
      </c>
      <c r="F7" s="6">
        <v>1.71</v>
      </c>
      <c r="G7" s="6">
        <v>200</v>
      </c>
      <c r="H7" s="6">
        <v>270</v>
      </c>
      <c r="I7" s="7">
        <v>4</v>
      </c>
      <c r="J7" s="7">
        <v>3</v>
      </c>
      <c r="K7" s="8"/>
    </row>
    <row r="8" spans="1:11">
      <c r="A8" s="5" t="s">
        <v>16</v>
      </c>
      <c r="B8" s="5" t="s">
        <v>11</v>
      </c>
      <c r="C8" s="6">
        <v>11982</v>
      </c>
      <c r="D8" s="6">
        <v>2.92</v>
      </c>
      <c r="E8" s="6">
        <v>45</v>
      </c>
      <c r="F8" s="6">
        <v>1.7</v>
      </c>
      <c r="G8" s="6">
        <v>245</v>
      </c>
      <c r="H8" s="6">
        <v>360</v>
      </c>
      <c r="I8" s="7">
        <v>6</v>
      </c>
      <c r="J8" s="7">
        <v>3</v>
      </c>
      <c r="K8" s="8"/>
    </row>
    <row r="9" spans="1:11">
      <c r="A9" s="5" t="s">
        <v>17</v>
      </c>
      <c r="B9" s="5" t="s">
        <v>11</v>
      </c>
      <c r="C9" s="6">
        <v>11980</v>
      </c>
      <c r="D9" s="6">
        <v>2.8600000000000003</v>
      </c>
      <c r="E9" s="6">
        <v>45</v>
      </c>
      <c r="F9" s="6">
        <v>1.71</v>
      </c>
      <c r="G9" s="6">
        <v>205</v>
      </c>
      <c r="H9" s="6">
        <v>270</v>
      </c>
      <c r="I9" s="7">
        <v>4</v>
      </c>
      <c r="J9" s="7">
        <v>3</v>
      </c>
      <c r="K9" s="8"/>
    </row>
    <row r="10" spans="1:11">
      <c r="A10" s="5" t="s">
        <v>18</v>
      </c>
      <c r="B10" s="5" t="s">
        <v>11</v>
      </c>
      <c r="C10" s="6">
        <v>11977</v>
      </c>
      <c r="D10" s="6">
        <v>2.98</v>
      </c>
      <c r="E10" s="6">
        <v>45</v>
      </c>
      <c r="F10" s="6">
        <v>1.7</v>
      </c>
      <c r="G10" s="6">
        <v>165</v>
      </c>
      <c r="H10" s="6">
        <v>330</v>
      </c>
      <c r="I10" s="7">
        <v>3</v>
      </c>
      <c r="J10" s="7">
        <v>2</v>
      </c>
      <c r="K10" s="8"/>
    </row>
    <row r="11" spans="1:11">
      <c r="A11" s="5" t="s">
        <v>19</v>
      </c>
      <c r="B11" s="5" t="s">
        <v>11</v>
      </c>
      <c r="C11" s="6">
        <v>11966</v>
      </c>
      <c r="D11" s="6">
        <v>2.92</v>
      </c>
      <c r="E11" s="6">
        <v>45.2</v>
      </c>
      <c r="F11" s="6">
        <v>1.7</v>
      </c>
      <c r="G11" s="6">
        <v>280</v>
      </c>
      <c r="H11" s="6">
        <v>360</v>
      </c>
      <c r="I11" s="7">
        <v>6</v>
      </c>
      <c r="J11" s="7">
        <v>3</v>
      </c>
      <c r="K11" s="8"/>
    </row>
    <row r="12" spans="1:11">
      <c r="A12" s="5" t="s">
        <v>20</v>
      </c>
      <c r="B12" s="5" t="s">
        <v>11</v>
      </c>
      <c r="C12" s="6">
        <v>11960</v>
      </c>
      <c r="D12" s="6">
        <v>2.92</v>
      </c>
      <c r="E12" s="6">
        <v>46</v>
      </c>
      <c r="F12" s="6">
        <v>1.7</v>
      </c>
      <c r="G12" s="6">
        <v>425</v>
      </c>
      <c r="H12" s="6">
        <v>360</v>
      </c>
      <c r="I12" s="7">
        <v>9</v>
      </c>
      <c r="J12" s="7">
        <v>5</v>
      </c>
      <c r="K12" s="8"/>
    </row>
    <row r="13" spans="1:11">
      <c r="A13" s="5" t="s">
        <v>21</v>
      </c>
      <c r="B13" s="5" t="s">
        <v>11</v>
      </c>
      <c r="C13" s="6">
        <v>11956</v>
      </c>
      <c r="D13" s="6">
        <v>2.95</v>
      </c>
      <c r="E13" s="6">
        <v>45.1</v>
      </c>
      <c r="F13" s="6">
        <v>1.7</v>
      </c>
      <c r="G13" s="6">
        <v>270</v>
      </c>
      <c r="H13" s="6">
        <v>360</v>
      </c>
      <c r="I13" s="7">
        <v>6</v>
      </c>
      <c r="J13" s="7">
        <v>3</v>
      </c>
      <c r="K13" s="8"/>
    </row>
    <row r="14" spans="1:11">
      <c r="A14" s="5" t="s">
        <v>22</v>
      </c>
      <c r="B14" s="5" t="s">
        <v>11</v>
      </c>
      <c r="C14" s="6">
        <v>11944</v>
      </c>
      <c r="D14" s="6">
        <v>2.9899999999999998</v>
      </c>
      <c r="E14" s="6">
        <v>45.1</v>
      </c>
      <c r="F14" s="6">
        <v>1.7</v>
      </c>
      <c r="G14" s="6">
        <v>160</v>
      </c>
      <c r="H14" s="6">
        <v>330</v>
      </c>
      <c r="I14" s="7">
        <v>3</v>
      </c>
      <c r="J14" s="7">
        <v>1</v>
      </c>
      <c r="K14" s="8"/>
    </row>
    <row r="15" spans="1:11">
      <c r="A15" s="5" t="s">
        <v>23</v>
      </c>
      <c r="B15" s="5" t="s">
        <v>11</v>
      </c>
      <c r="C15" s="6">
        <v>11940</v>
      </c>
      <c r="D15" s="6">
        <v>3</v>
      </c>
      <c r="E15" s="6">
        <v>45.1</v>
      </c>
      <c r="F15" s="6">
        <v>1.71</v>
      </c>
      <c r="G15" s="6">
        <v>155</v>
      </c>
      <c r="H15" s="6">
        <v>330</v>
      </c>
      <c r="I15" s="7">
        <v>3</v>
      </c>
      <c r="J15" s="7">
        <v>1</v>
      </c>
      <c r="K15" s="8"/>
    </row>
    <row r="16" spans="1:11">
      <c r="A16" s="5" t="s">
        <v>24</v>
      </c>
      <c r="B16" s="5" t="s">
        <v>11</v>
      </c>
      <c r="C16" s="6">
        <v>11906</v>
      </c>
      <c r="D16" s="6">
        <v>3.0300000000000002</v>
      </c>
      <c r="E16" s="6">
        <v>44.8</v>
      </c>
      <c r="F16" s="6">
        <v>1.7</v>
      </c>
      <c r="G16" s="6">
        <v>190</v>
      </c>
      <c r="H16" s="6">
        <v>300</v>
      </c>
      <c r="I16" s="7">
        <v>4</v>
      </c>
      <c r="J16" s="7">
        <v>2</v>
      </c>
      <c r="K16" s="8"/>
    </row>
    <row r="17" spans="1:11">
      <c r="A17" s="5" t="s">
        <v>25</v>
      </c>
      <c r="B17" s="5" t="s">
        <v>11</v>
      </c>
      <c r="C17" s="6">
        <v>11839</v>
      </c>
      <c r="D17" s="6">
        <v>2.9</v>
      </c>
      <c r="E17" s="6">
        <v>46.8</v>
      </c>
      <c r="F17" s="6">
        <v>1.68</v>
      </c>
      <c r="G17" s="6">
        <v>230</v>
      </c>
      <c r="H17" s="6">
        <v>210</v>
      </c>
      <c r="I17" s="7">
        <v>5</v>
      </c>
      <c r="J17" s="7">
        <v>3</v>
      </c>
      <c r="K17" s="8"/>
    </row>
    <row r="18" spans="1:11">
      <c r="A18" s="9" t="s">
        <v>26</v>
      </c>
      <c r="B18" s="9" t="s">
        <v>11</v>
      </c>
      <c r="C18" s="10">
        <v>11836</v>
      </c>
      <c r="D18" s="10">
        <v>2.8600000000000003</v>
      </c>
      <c r="E18" s="10">
        <v>47.2</v>
      </c>
      <c r="F18" s="10">
        <v>1.66</v>
      </c>
      <c r="G18" s="10">
        <v>215</v>
      </c>
      <c r="H18" s="10">
        <v>210</v>
      </c>
      <c r="I18" s="11">
        <v>5</v>
      </c>
      <c r="J18" s="11">
        <v>2</v>
      </c>
      <c r="K18" s="12"/>
    </row>
  </sheetData>
  <phoneticPr fontId="4" type="noConversion"/>
  <dataValidations count="1">
    <dataValidation type="list" sqref="B2:B18" xr:uid="{00000000-0002-0000-0100-000000000000}">
      <formula1>"Compromise,HY"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showGridLines="0" tabSelected="1" topLeftCell="A25" workbookViewId="0">
      <selection activeCell="E20" sqref="E20"/>
    </sheetView>
  </sheetViews>
  <sheetFormatPr defaultRowHeight="14"/>
  <cols>
    <col min="1" max="1" width="12.08203125" customWidth="1"/>
    <col min="2" max="2" width="14.58203125" customWidth="1"/>
    <col min="3" max="3" width="13.08203125" customWidth="1"/>
    <col min="4" max="5" width="12" customWidth="1"/>
    <col min="6" max="6" width="11.25" customWidth="1"/>
    <col min="7" max="7" width="9" customWidth="1"/>
    <col min="8" max="8" width="30" customWidth="1"/>
    <col min="9" max="9" width="25.4140625" customWidth="1"/>
    <col min="10" max="10" width="27" customWidth="1"/>
    <col min="11" max="11" width="13.6640625" customWidth="1"/>
    <col min="12" max="13" width="29" customWidth="1"/>
    <col min="14" max="14" width="27.4140625" customWidth="1"/>
    <col min="15" max="15" width="16.58203125" customWidth="1"/>
    <col min="16" max="16" width="28" customWidth="1"/>
  </cols>
  <sheetData>
    <row r="1" spans="1:16" ht="42" customHeight="1">
      <c r="A1" s="25" t="s">
        <v>0</v>
      </c>
      <c r="B1" s="25" t="s">
        <v>1</v>
      </c>
      <c r="C1" s="25" t="s">
        <v>27</v>
      </c>
      <c r="D1" s="25" t="s">
        <v>28</v>
      </c>
      <c r="E1" s="25" t="s">
        <v>29</v>
      </c>
      <c r="F1" s="25" t="s">
        <v>30</v>
      </c>
      <c r="G1" s="25" t="s">
        <v>31</v>
      </c>
      <c r="H1" s="25" t="s">
        <v>3</v>
      </c>
      <c r="I1" s="25" t="s">
        <v>32</v>
      </c>
      <c r="J1" s="25" t="s">
        <v>33</v>
      </c>
      <c r="K1" s="25" t="s">
        <v>4</v>
      </c>
      <c r="L1" s="25" t="s">
        <v>5</v>
      </c>
      <c r="M1" s="25" t="s">
        <v>34</v>
      </c>
      <c r="N1" s="25" t="s">
        <v>6</v>
      </c>
      <c r="O1" s="25" t="s">
        <v>35</v>
      </c>
      <c r="P1" s="25" t="s">
        <v>7</v>
      </c>
    </row>
    <row r="2" spans="1:16" s="32" customFormat="1">
      <c r="A2" s="26" t="s">
        <v>8</v>
      </c>
      <c r="B2" s="26" t="s">
        <v>9</v>
      </c>
      <c r="C2" s="26">
        <v>2019</v>
      </c>
      <c r="D2" s="27">
        <v>11599</v>
      </c>
      <c r="E2" s="28">
        <v>2.95</v>
      </c>
      <c r="F2" s="28">
        <v>45.6</v>
      </c>
      <c r="G2" s="28">
        <v>1.7</v>
      </c>
      <c r="H2" s="29">
        <f>IF(SUMIF(Candidate_Management!$A$2:$A$18,A2,Candidate_Management!$G$2:$G$18)=0,"",SUMIF(Candidate_Management!$A$2:$A$18,A2,Candidate_Management!$G$2:$G$18))</f>
        <v>200</v>
      </c>
      <c r="I2" s="29">
        <f>IF(H2="","",SUMIF(Farmer_Year_Results!$A$2:$A$6,C2,Farmer_Year_Results!$G$2:$G$6))</f>
        <v>45</v>
      </c>
      <c r="J2" s="29">
        <f t="shared" ref="J2:J33" si="0">IF(H2="","",H2+I2)</f>
        <v>245</v>
      </c>
      <c r="K2" s="29">
        <f>IF(SUMIF(Candidate_Management!$A$2:$A$18,A2,Candidate_Management!$H$2:$H$18)=0,"",SUMIF(Candidate_Management!$A$2:$A$18,A2,Candidate_Management!$H$2:$H$18))</f>
        <v>300</v>
      </c>
      <c r="L2" s="30">
        <f>IF(SUMIF(Candidate_Management!$A$2:$A$18,A2,Candidate_Management!$I$2:$I$18)=0,"",SUMIF(Candidate_Management!$A$2:$A$18,A2,Candidate_Management!$I$2:$I$18))</f>
        <v>5</v>
      </c>
      <c r="M2" s="30">
        <f t="shared" ref="M2:M33" si="1">IF(L2="","",L2+1)</f>
        <v>6</v>
      </c>
      <c r="N2" s="30">
        <f>IF(SUMIF(Candidate_Management!$A$2:$A$18,A2,Candidate_Management!$J$2:$J$18)=0,"",SUMIF(Candidate_Management!$A$2:$A$18,A2,Candidate_Management!$J$2:$J$18))</f>
        <v>3</v>
      </c>
      <c r="O2" s="31" t="s">
        <v>67</v>
      </c>
      <c r="P2" s="31"/>
    </row>
    <row r="3" spans="1:16" s="32" customFormat="1">
      <c r="A3" s="33" t="s">
        <v>8</v>
      </c>
      <c r="B3" s="33" t="s">
        <v>9</v>
      </c>
      <c r="C3" s="33">
        <v>2020</v>
      </c>
      <c r="D3" s="34">
        <v>11410</v>
      </c>
      <c r="E3" s="35">
        <v>2.89</v>
      </c>
      <c r="F3" s="35">
        <v>45</v>
      </c>
      <c r="G3" s="35">
        <v>1.65</v>
      </c>
      <c r="H3" s="36">
        <f>IF(SUMIF(Candidate_Management!$A$2:$A$18,A3,Candidate_Management!$G$2:$G$18)=0,"",SUMIF(Candidate_Management!$A$2:$A$18,A3,Candidate_Management!$G$2:$G$18))</f>
        <v>200</v>
      </c>
      <c r="I3" s="36">
        <f>IF(H3="","",SUMIF(Farmer_Year_Results!$A$2:$A$6,C3,Farmer_Year_Results!$G$2:$G$6))</f>
        <v>52</v>
      </c>
      <c r="J3" s="36">
        <f t="shared" si="0"/>
        <v>252</v>
      </c>
      <c r="K3" s="36">
        <f>IF(SUMIF(Candidate_Management!$A$2:$A$18,A3,Candidate_Management!$H$2:$H$18)=0,"",SUMIF(Candidate_Management!$A$2:$A$18,A3,Candidate_Management!$H$2:$H$18))</f>
        <v>300</v>
      </c>
      <c r="L3" s="37">
        <f>IF(SUMIF(Candidate_Management!$A$2:$A$18,A3,Candidate_Management!$I$2:$I$18)=0,"",SUMIF(Candidate_Management!$A$2:$A$18,A3,Candidate_Management!$I$2:$I$18))</f>
        <v>5</v>
      </c>
      <c r="M3" s="37">
        <f t="shared" si="1"/>
        <v>6</v>
      </c>
      <c r="N3" s="37">
        <f>IF(SUMIF(Candidate_Management!$A$2:$A$18,A3,Candidate_Management!$J$2:$J$18)=0,"",SUMIF(Candidate_Management!$A$2:$A$18,A3,Candidate_Management!$J$2:$J$18))</f>
        <v>3</v>
      </c>
      <c r="O3" s="31" t="s">
        <v>67</v>
      </c>
      <c r="P3" s="38"/>
    </row>
    <row r="4" spans="1:16" s="32" customFormat="1">
      <c r="A4" s="33" t="s">
        <v>8</v>
      </c>
      <c r="B4" s="33" t="s">
        <v>9</v>
      </c>
      <c r="C4" s="33">
        <v>2021</v>
      </c>
      <c r="D4" s="34">
        <v>11335</v>
      </c>
      <c r="E4" s="35">
        <v>2.65</v>
      </c>
      <c r="F4" s="35">
        <v>46.5</v>
      </c>
      <c r="G4" s="35">
        <v>1.6</v>
      </c>
      <c r="H4" s="36">
        <f>IF(SUMIF(Candidate_Management!$A$2:$A$18,A4,Candidate_Management!$G$2:$G$18)=0,"",SUMIF(Candidate_Management!$A$2:$A$18,A4,Candidate_Management!$G$2:$G$18))</f>
        <v>200</v>
      </c>
      <c r="I4" s="36">
        <f>IF(H4="","",SUMIF(Farmer_Year_Results!$A$2:$A$6,C4,Farmer_Year_Results!$G$2:$G$6))</f>
        <v>58</v>
      </c>
      <c r="J4" s="36">
        <f t="shared" si="0"/>
        <v>258</v>
      </c>
      <c r="K4" s="36">
        <f>IF(SUMIF(Candidate_Management!$A$2:$A$18,A4,Candidate_Management!$H$2:$H$18)=0,"",SUMIF(Candidate_Management!$A$2:$A$18,A4,Candidate_Management!$H$2:$H$18))</f>
        <v>300</v>
      </c>
      <c r="L4" s="37">
        <f>IF(SUMIF(Candidate_Management!$A$2:$A$18,A4,Candidate_Management!$I$2:$I$18)=0,"",SUMIF(Candidate_Management!$A$2:$A$18,A4,Candidate_Management!$I$2:$I$18))</f>
        <v>5</v>
      </c>
      <c r="M4" s="37">
        <f t="shared" si="1"/>
        <v>6</v>
      </c>
      <c r="N4" s="37">
        <f>IF(SUMIF(Candidate_Management!$A$2:$A$18,A4,Candidate_Management!$J$2:$J$18)=0,"",SUMIF(Candidate_Management!$A$2:$A$18,A4,Candidate_Management!$J$2:$J$18))</f>
        <v>3</v>
      </c>
      <c r="O4" s="31" t="s">
        <v>67</v>
      </c>
      <c r="P4" s="38"/>
    </row>
    <row r="5" spans="1:16" s="32" customFormat="1">
      <c r="A5" s="33" t="s">
        <v>8</v>
      </c>
      <c r="B5" s="33" t="s">
        <v>9</v>
      </c>
      <c r="C5" s="33">
        <v>2022</v>
      </c>
      <c r="D5" s="34">
        <v>11240</v>
      </c>
      <c r="E5" s="35">
        <v>2.58</v>
      </c>
      <c r="F5" s="35">
        <v>45.6</v>
      </c>
      <c r="G5" s="35">
        <v>1.58</v>
      </c>
      <c r="H5" s="36">
        <f>IF(SUMIF(Candidate_Management!$A$2:$A$18,A5,Candidate_Management!$G$2:$G$18)=0,"",SUMIF(Candidate_Management!$A$2:$A$18,A5,Candidate_Management!$G$2:$G$18))</f>
        <v>200</v>
      </c>
      <c r="I5" s="36">
        <f>IF(H5="","",SUMIF(Farmer_Year_Results!$A$2:$A$6,C5,Farmer_Year_Results!$G$2:$G$6))</f>
        <v>55</v>
      </c>
      <c r="J5" s="36">
        <f t="shared" si="0"/>
        <v>255</v>
      </c>
      <c r="K5" s="36">
        <f>IF(SUMIF(Candidate_Management!$A$2:$A$18,A5,Candidate_Management!$H$2:$H$18)=0,"",SUMIF(Candidate_Management!$A$2:$A$18,A5,Candidate_Management!$H$2:$H$18))</f>
        <v>300</v>
      </c>
      <c r="L5" s="37">
        <f>IF(SUMIF(Candidate_Management!$A$2:$A$18,A5,Candidate_Management!$I$2:$I$18)=0,"",SUMIF(Candidate_Management!$A$2:$A$18,A5,Candidate_Management!$I$2:$I$18))</f>
        <v>5</v>
      </c>
      <c r="M5" s="37">
        <f t="shared" si="1"/>
        <v>6</v>
      </c>
      <c r="N5" s="37">
        <f>IF(SUMIF(Candidate_Management!$A$2:$A$18,A5,Candidate_Management!$J$2:$J$18)=0,"",SUMIF(Candidate_Management!$A$2:$A$18,A5,Candidate_Management!$J$2:$J$18))</f>
        <v>3</v>
      </c>
      <c r="O5" s="31" t="s">
        <v>67</v>
      </c>
      <c r="P5" s="38"/>
    </row>
    <row r="6" spans="1:16" s="32" customFormat="1">
      <c r="A6" s="33" t="s">
        <v>8</v>
      </c>
      <c r="B6" s="33" t="s">
        <v>9</v>
      </c>
      <c r="C6" s="33">
        <v>2023</v>
      </c>
      <c r="D6" s="34">
        <v>11715</v>
      </c>
      <c r="E6" s="35">
        <v>3.01</v>
      </c>
      <c r="F6" s="35">
        <v>44.5</v>
      </c>
      <c r="G6" s="35">
        <v>1.72</v>
      </c>
      <c r="H6" s="36">
        <f>IF(SUMIF(Candidate_Management!$A$2:$A$18,A6,Candidate_Management!$G$2:$G$18)=0,"",SUMIF(Candidate_Management!$A$2:$A$18,A6,Candidate_Management!$G$2:$G$18))</f>
        <v>200</v>
      </c>
      <c r="I6" s="36">
        <f>IF(H6="","",SUMIF(Farmer_Year_Results!$A$2:$A$6,C6,Farmer_Year_Results!$G$2:$G$6))</f>
        <v>65</v>
      </c>
      <c r="J6" s="36">
        <f t="shared" si="0"/>
        <v>265</v>
      </c>
      <c r="K6" s="36">
        <f>IF(SUMIF(Candidate_Management!$A$2:$A$18,A6,Candidate_Management!$H$2:$H$18)=0,"",SUMIF(Candidate_Management!$A$2:$A$18,A6,Candidate_Management!$H$2:$H$18))</f>
        <v>300</v>
      </c>
      <c r="L6" s="37">
        <f>IF(SUMIF(Candidate_Management!$A$2:$A$18,A6,Candidate_Management!$I$2:$I$18)=0,"",SUMIF(Candidate_Management!$A$2:$A$18,A6,Candidate_Management!$I$2:$I$18))</f>
        <v>5</v>
      </c>
      <c r="M6" s="37">
        <f t="shared" si="1"/>
        <v>6</v>
      </c>
      <c r="N6" s="37">
        <f>IF(SUMIF(Candidate_Management!$A$2:$A$18,A6,Candidate_Management!$J$2:$J$18)=0,"",SUMIF(Candidate_Management!$A$2:$A$18,A6,Candidate_Management!$J$2:$J$18))</f>
        <v>3</v>
      </c>
      <c r="O6" s="31" t="s">
        <v>67</v>
      </c>
      <c r="P6" s="38"/>
    </row>
    <row r="7" spans="1:16" s="32" customFormat="1">
      <c r="A7" s="33" t="s">
        <v>10</v>
      </c>
      <c r="B7" s="33" t="s">
        <v>11</v>
      </c>
      <c r="C7" s="33">
        <v>2019</v>
      </c>
      <c r="D7" s="34">
        <v>11990</v>
      </c>
      <c r="E7" s="35">
        <v>3.01</v>
      </c>
      <c r="F7" s="35">
        <v>45.09</v>
      </c>
      <c r="G7" s="35">
        <v>1.79</v>
      </c>
      <c r="H7" s="36">
        <f>IF(SUMIF(Candidate_Management!$A$2:$A$18,A7,Candidate_Management!$G$2:$G$18)=0,"",SUMIF(Candidate_Management!$A$2:$A$18,A7,Candidate_Management!$G$2:$G$18))</f>
        <v>205</v>
      </c>
      <c r="I7" s="36">
        <f>IF(H7="","",SUMIF(Farmer_Year_Results!$A$2:$A$6,C7,Farmer_Year_Results!$G$2:$G$6))</f>
        <v>45</v>
      </c>
      <c r="J7" s="36">
        <f t="shared" si="0"/>
        <v>250</v>
      </c>
      <c r="K7" s="36">
        <f>IF(SUMIF(Candidate_Management!$A$2:$A$18,A7,Candidate_Management!$H$2:$H$18)=0,"",SUMIF(Candidate_Management!$A$2:$A$18,A7,Candidate_Management!$H$2:$H$18))</f>
        <v>270</v>
      </c>
      <c r="L7" s="37">
        <f>IF(SUMIF(Candidate_Management!$A$2:$A$18,A7,Candidate_Management!$I$2:$I$18)=0,"",SUMIF(Candidate_Management!$A$2:$A$18,A7,Candidate_Management!$I$2:$I$18))</f>
        <v>4</v>
      </c>
      <c r="M7" s="37">
        <f t="shared" si="1"/>
        <v>5</v>
      </c>
      <c r="N7" s="37">
        <f>IF(SUMIF(Candidate_Management!$A$2:$A$18,A7,Candidate_Management!$J$2:$J$18)=0,"",SUMIF(Candidate_Management!$A$2:$A$18,A7,Candidate_Management!$J$2:$J$18))</f>
        <v>1</v>
      </c>
      <c r="O7" s="31" t="s">
        <v>67</v>
      </c>
      <c r="P7" s="38"/>
    </row>
    <row r="8" spans="1:16" s="32" customFormat="1">
      <c r="A8" s="33" t="s">
        <v>10</v>
      </c>
      <c r="B8" s="33" t="s">
        <v>11</v>
      </c>
      <c r="C8" s="33">
        <v>2020</v>
      </c>
      <c r="D8" s="34">
        <v>11995</v>
      </c>
      <c r="E8" s="35">
        <v>2.89</v>
      </c>
      <c r="F8" s="35">
        <v>44.4</v>
      </c>
      <c r="G8" s="35">
        <v>1.68</v>
      </c>
      <c r="H8" s="36">
        <f>IF(SUMIF(Candidate_Management!$A$2:$A$18,A8,Candidate_Management!$G$2:$G$18)=0,"",SUMIF(Candidate_Management!$A$2:$A$18,A8,Candidate_Management!$G$2:$G$18))</f>
        <v>205</v>
      </c>
      <c r="I8" s="36">
        <f>IF(H8="","",SUMIF(Farmer_Year_Results!$A$2:$A$6,C8,Farmer_Year_Results!$G$2:$G$6))</f>
        <v>52</v>
      </c>
      <c r="J8" s="36">
        <f t="shared" si="0"/>
        <v>257</v>
      </c>
      <c r="K8" s="36">
        <f>IF(SUMIF(Candidate_Management!$A$2:$A$18,A8,Candidate_Management!$H$2:$H$18)=0,"",SUMIF(Candidate_Management!$A$2:$A$18,A8,Candidate_Management!$H$2:$H$18))</f>
        <v>270</v>
      </c>
      <c r="L8" s="37">
        <f>IF(SUMIF(Candidate_Management!$A$2:$A$18,A8,Candidate_Management!$I$2:$I$18)=0,"",SUMIF(Candidate_Management!$A$2:$A$18,A8,Candidate_Management!$I$2:$I$18))</f>
        <v>4</v>
      </c>
      <c r="M8" s="37">
        <f t="shared" si="1"/>
        <v>5</v>
      </c>
      <c r="N8" s="37">
        <f>IF(SUMIF(Candidate_Management!$A$2:$A$18,A8,Candidate_Management!$J$2:$J$18)=0,"",SUMIF(Candidate_Management!$A$2:$A$18,A8,Candidate_Management!$J$2:$J$18))</f>
        <v>1</v>
      </c>
      <c r="O8" s="31" t="s">
        <v>67</v>
      </c>
      <c r="P8" s="38"/>
    </row>
    <row r="9" spans="1:16" s="32" customFormat="1">
      <c r="A9" s="33" t="s">
        <v>10</v>
      </c>
      <c r="B9" s="33" t="s">
        <v>11</v>
      </c>
      <c r="C9" s="33">
        <v>2021</v>
      </c>
      <c r="D9" s="34">
        <v>12001</v>
      </c>
      <c r="E9" s="35">
        <v>2.7</v>
      </c>
      <c r="F9" s="35">
        <v>46.08</v>
      </c>
      <c r="G9" s="35">
        <v>1.64</v>
      </c>
      <c r="H9" s="36">
        <f>IF(SUMIF(Candidate_Management!$A$2:$A$18,A9,Candidate_Management!$G$2:$G$18)=0,"",SUMIF(Candidate_Management!$A$2:$A$18,A9,Candidate_Management!$G$2:$G$18))</f>
        <v>205</v>
      </c>
      <c r="I9" s="36">
        <f>IF(H9="","",SUMIF(Farmer_Year_Results!$A$2:$A$6,C9,Farmer_Year_Results!$G$2:$G$6))</f>
        <v>58</v>
      </c>
      <c r="J9" s="36">
        <f t="shared" si="0"/>
        <v>263</v>
      </c>
      <c r="K9" s="36">
        <f>IF(SUMIF(Candidate_Management!$A$2:$A$18,A9,Candidate_Management!$H$2:$H$18)=0,"",SUMIF(Candidate_Management!$A$2:$A$18,A9,Candidate_Management!$H$2:$H$18))</f>
        <v>270</v>
      </c>
      <c r="L9" s="37">
        <f>IF(SUMIF(Candidate_Management!$A$2:$A$18,A9,Candidate_Management!$I$2:$I$18)=0,"",SUMIF(Candidate_Management!$A$2:$A$18,A9,Candidate_Management!$I$2:$I$18))</f>
        <v>4</v>
      </c>
      <c r="M9" s="37">
        <f t="shared" si="1"/>
        <v>5</v>
      </c>
      <c r="N9" s="37">
        <f>IF(SUMIF(Candidate_Management!$A$2:$A$18,A9,Candidate_Management!$J$2:$J$18)=0,"",SUMIF(Candidate_Management!$A$2:$A$18,A9,Candidate_Management!$J$2:$J$18))</f>
        <v>1</v>
      </c>
      <c r="O9" s="31" t="s">
        <v>67</v>
      </c>
      <c r="P9" s="38"/>
    </row>
    <row r="10" spans="1:16" s="32" customFormat="1">
      <c r="A10" s="33" t="s">
        <v>10</v>
      </c>
      <c r="B10" s="33" t="s">
        <v>11</v>
      </c>
      <c r="C10" s="33">
        <v>2022</v>
      </c>
      <c r="D10" s="34">
        <v>12010</v>
      </c>
      <c r="E10" s="35">
        <v>2.6</v>
      </c>
      <c r="F10" s="35">
        <v>45.09</v>
      </c>
      <c r="G10" s="35">
        <v>1.53</v>
      </c>
      <c r="H10" s="36">
        <f>IF(SUMIF(Candidate_Management!$A$2:$A$18,A10,Candidate_Management!$G$2:$G$18)=0,"",SUMIF(Candidate_Management!$A$2:$A$18,A10,Candidate_Management!$G$2:$G$18))</f>
        <v>205</v>
      </c>
      <c r="I10" s="36">
        <f>IF(H10="","",SUMIF(Farmer_Year_Results!$A$2:$A$6,C10,Farmer_Year_Results!$G$2:$G$6))</f>
        <v>55</v>
      </c>
      <c r="J10" s="36">
        <f t="shared" si="0"/>
        <v>260</v>
      </c>
      <c r="K10" s="36">
        <f>IF(SUMIF(Candidate_Management!$A$2:$A$18,A10,Candidate_Management!$H$2:$H$18)=0,"",SUMIF(Candidate_Management!$A$2:$A$18,A10,Candidate_Management!$H$2:$H$18))</f>
        <v>270</v>
      </c>
      <c r="L10" s="37">
        <f>IF(SUMIF(Candidate_Management!$A$2:$A$18,A10,Candidate_Management!$I$2:$I$18)=0,"",SUMIF(Candidate_Management!$A$2:$A$18,A10,Candidate_Management!$I$2:$I$18))</f>
        <v>4</v>
      </c>
      <c r="M10" s="37">
        <f t="shared" si="1"/>
        <v>5</v>
      </c>
      <c r="N10" s="37">
        <f>IF(SUMIF(Candidate_Management!$A$2:$A$18,A10,Candidate_Management!$J$2:$J$18)=0,"",SUMIF(Candidate_Management!$A$2:$A$18,A10,Candidate_Management!$J$2:$J$18))</f>
        <v>1</v>
      </c>
      <c r="O10" s="31" t="s">
        <v>67</v>
      </c>
      <c r="P10" s="38"/>
    </row>
    <row r="11" spans="1:16" s="32" customFormat="1">
      <c r="A11" s="33" t="s">
        <v>10</v>
      </c>
      <c r="B11" s="33" t="s">
        <v>11</v>
      </c>
      <c r="C11" s="33">
        <v>2023</v>
      </c>
      <c r="D11" s="34">
        <v>12020</v>
      </c>
      <c r="E11" s="35">
        <v>3.12</v>
      </c>
      <c r="F11" s="35">
        <v>44</v>
      </c>
      <c r="G11" s="35">
        <v>1.79</v>
      </c>
      <c r="H11" s="36">
        <f>IF(SUMIF(Candidate_Management!$A$2:$A$18,A11,Candidate_Management!$G$2:$G$18)=0,"",SUMIF(Candidate_Management!$A$2:$A$18,A11,Candidate_Management!$G$2:$G$18))</f>
        <v>205</v>
      </c>
      <c r="I11" s="36">
        <f>IF(H11="","",SUMIF(Farmer_Year_Results!$A$2:$A$6,C11,Farmer_Year_Results!$G$2:$G$6))</f>
        <v>65</v>
      </c>
      <c r="J11" s="36">
        <f t="shared" si="0"/>
        <v>270</v>
      </c>
      <c r="K11" s="36">
        <f>IF(SUMIF(Candidate_Management!$A$2:$A$18,A11,Candidate_Management!$H$2:$H$18)=0,"",SUMIF(Candidate_Management!$A$2:$A$18,A11,Candidate_Management!$H$2:$H$18))</f>
        <v>270</v>
      </c>
      <c r="L11" s="37">
        <f>IF(SUMIF(Candidate_Management!$A$2:$A$18,A11,Candidate_Management!$I$2:$I$18)=0,"",SUMIF(Candidate_Management!$A$2:$A$18,A11,Candidate_Management!$I$2:$I$18))</f>
        <v>4</v>
      </c>
      <c r="M11" s="37">
        <f t="shared" si="1"/>
        <v>5</v>
      </c>
      <c r="N11" s="37">
        <f>IF(SUMIF(Candidate_Management!$A$2:$A$18,A11,Candidate_Management!$J$2:$J$18)=0,"",SUMIF(Candidate_Management!$A$2:$A$18,A11,Candidate_Management!$J$2:$J$18))</f>
        <v>1</v>
      </c>
      <c r="O11" s="31" t="s">
        <v>67</v>
      </c>
      <c r="P11" s="38"/>
    </row>
    <row r="12" spans="1:16" s="32" customFormat="1">
      <c r="A12" s="33" t="s">
        <v>12</v>
      </c>
      <c r="B12" s="33" t="s">
        <v>11</v>
      </c>
      <c r="C12" s="33">
        <v>2019</v>
      </c>
      <c r="D12" s="34">
        <v>11974</v>
      </c>
      <c r="E12" s="35">
        <v>2.99</v>
      </c>
      <c r="F12" s="35">
        <v>45.2</v>
      </c>
      <c r="G12" s="35">
        <v>1.79</v>
      </c>
      <c r="H12" s="36">
        <f>IF(SUMIF(Candidate_Management!$A$2:$A$18,A12,Candidate_Management!$G$2:$G$18)=0,"",SUMIF(Candidate_Management!$A$2:$A$18,A12,Candidate_Management!$G$2:$G$18))</f>
        <v>260</v>
      </c>
      <c r="I12" s="36">
        <f>IF(H12="","",SUMIF(Farmer_Year_Results!$A$2:$A$6,C12,Farmer_Year_Results!$G$2:$G$6))</f>
        <v>45</v>
      </c>
      <c r="J12" s="36">
        <f t="shared" si="0"/>
        <v>305</v>
      </c>
      <c r="K12" s="36">
        <f>IF(SUMIF(Candidate_Management!$A$2:$A$18,A12,Candidate_Management!$H$2:$H$18)=0,"",SUMIF(Candidate_Management!$A$2:$A$18,A12,Candidate_Management!$H$2:$H$18))</f>
        <v>330</v>
      </c>
      <c r="L12" s="37">
        <f>IF(SUMIF(Candidate_Management!$A$2:$A$18,A12,Candidate_Management!$I$2:$I$18)=0,"",SUMIF(Candidate_Management!$A$2:$A$18,A12,Candidate_Management!$I$2:$I$18))</f>
        <v>6</v>
      </c>
      <c r="M12" s="37">
        <f t="shared" si="1"/>
        <v>7</v>
      </c>
      <c r="N12" s="37">
        <f>IF(SUMIF(Candidate_Management!$A$2:$A$18,A12,Candidate_Management!$J$2:$J$18)=0,"",SUMIF(Candidate_Management!$A$2:$A$18,A12,Candidate_Management!$J$2:$J$18))</f>
        <v>3</v>
      </c>
      <c r="O12" s="31" t="s">
        <v>67</v>
      </c>
      <c r="P12" s="38"/>
    </row>
    <row r="13" spans="1:16" s="32" customFormat="1">
      <c r="A13" s="33" t="s">
        <v>12</v>
      </c>
      <c r="B13" s="33" t="s">
        <v>11</v>
      </c>
      <c r="C13" s="33">
        <v>2020</v>
      </c>
      <c r="D13" s="34">
        <v>11980</v>
      </c>
      <c r="E13" s="35">
        <v>2.91</v>
      </c>
      <c r="F13" s="35">
        <v>44.6</v>
      </c>
      <c r="G13" s="35">
        <v>1.68</v>
      </c>
      <c r="H13" s="36">
        <f>IF(SUMIF(Candidate_Management!$A$2:$A$18,A13,Candidate_Management!$G$2:$G$18)=0,"",SUMIF(Candidate_Management!$A$2:$A$18,A13,Candidate_Management!$G$2:$G$18))</f>
        <v>260</v>
      </c>
      <c r="I13" s="36">
        <f>IF(H13="","",SUMIF(Farmer_Year_Results!$A$2:$A$6,C13,Farmer_Year_Results!$G$2:$G$6))</f>
        <v>52</v>
      </c>
      <c r="J13" s="36">
        <f t="shared" si="0"/>
        <v>312</v>
      </c>
      <c r="K13" s="36">
        <f>IF(SUMIF(Candidate_Management!$A$2:$A$18,A13,Candidate_Management!$H$2:$H$18)=0,"",SUMIF(Candidate_Management!$A$2:$A$18,A13,Candidate_Management!$H$2:$H$18))</f>
        <v>330</v>
      </c>
      <c r="L13" s="37">
        <f>IF(SUMIF(Candidate_Management!$A$2:$A$18,A13,Candidate_Management!$I$2:$I$18)=0,"",SUMIF(Candidate_Management!$A$2:$A$18,A13,Candidate_Management!$I$2:$I$18))</f>
        <v>6</v>
      </c>
      <c r="M13" s="37">
        <f t="shared" si="1"/>
        <v>7</v>
      </c>
      <c r="N13" s="37">
        <f>IF(SUMIF(Candidate_Management!$A$2:$A$18,A13,Candidate_Management!$J$2:$J$18)=0,"",SUMIF(Candidate_Management!$A$2:$A$18,A13,Candidate_Management!$J$2:$J$18))</f>
        <v>3</v>
      </c>
      <c r="O13" s="31" t="s">
        <v>67</v>
      </c>
      <c r="P13" s="38"/>
    </row>
    <row r="14" spans="1:16" s="32" customFormat="1">
      <c r="A14" s="33" t="s">
        <v>12</v>
      </c>
      <c r="B14" s="33" t="s">
        <v>11</v>
      </c>
      <c r="C14" s="33">
        <v>2021</v>
      </c>
      <c r="D14" s="34">
        <v>12000</v>
      </c>
      <c r="E14" s="35">
        <v>2.7</v>
      </c>
      <c r="F14" s="35">
        <v>46.19</v>
      </c>
      <c r="G14" s="35">
        <v>1.63</v>
      </c>
      <c r="H14" s="36">
        <f>IF(SUMIF(Candidate_Management!$A$2:$A$18,A14,Candidate_Management!$G$2:$G$18)=0,"",SUMIF(Candidate_Management!$A$2:$A$18,A14,Candidate_Management!$G$2:$G$18))</f>
        <v>260</v>
      </c>
      <c r="I14" s="36">
        <f>IF(H14="","",SUMIF(Farmer_Year_Results!$A$2:$A$6,C14,Farmer_Year_Results!$G$2:$G$6))</f>
        <v>58</v>
      </c>
      <c r="J14" s="36">
        <f t="shared" si="0"/>
        <v>318</v>
      </c>
      <c r="K14" s="36">
        <f>IF(SUMIF(Candidate_Management!$A$2:$A$18,A14,Candidate_Management!$H$2:$H$18)=0,"",SUMIF(Candidate_Management!$A$2:$A$18,A14,Candidate_Management!$H$2:$H$18))</f>
        <v>330</v>
      </c>
      <c r="L14" s="37">
        <f>IF(SUMIF(Candidate_Management!$A$2:$A$18,A14,Candidate_Management!$I$2:$I$18)=0,"",SUMIF(Candidate_Management!$A$2:$A$18,A14,Candidate_Management!$I$2:$I$18))</f>
        <v>6</v>
      </c>
      <c r="M14" s="37">
        <f t="shared" si="1"/>
        <v>7</v>
      </c>
      <c r="N14" s="37">
        <f>IF(SUMIF(Candidate_Management!$A$2:$A$18,A14,Candidate_Management!$J$2:$J$18)=0,"",SUMIF(Candidate_Management!$A$2:$A$18,A14,Candidate_Management!$J$2:$J$18))</f>
        <v>3</v>
      </c>
      <c r="O14" s="31" t="s">
        <v>67</v>
      </c>
      <c r="P14" s="38"/>
    </row>
    <row r="15" spans="1:16" s="32" customFormat="1">
      <c r="A15" s="33" t="s">
        <v>12</v>
      </c>
      <c r="B15" s="33" t="s">
        <v>11</v>
      </c>
      <c r="C15" s="33">
        <v>2022</v>
      </c>
      <c r="D15" s="34">
        <v>12001</v>
      </c>
      <c r="E15" s="35">
        <v>2.59</v>
      </c>
      <c r="F15" s="35">
        <v>45.2</v>
      </c>
      <c r="G15" s="35">
        <v>1.52</v>
      </c>
      <c r="H15" s="36">
        <f>IF(SUMIF(Candidate_Management!$A$2:$A$18,A15,Candidate_Management!$G$2:$G$18)=0,"",SUMIF(Candidate_Management!$A$2:$A$18,A15,Candidate_Management!$G$2:$G$18))</f>
        <v>260</v>
      </c>
      <c r="I15" s="36">
        <f>IF(H15="","",SUMIF(Farmer_Year_Results!$A$2:$A$6,C15,Farmer_Year_Results!$G$2:$G$6))</f>
        <v>55</v>
      </c>
      <c r="J15" s="36">
        <f t="shared" si="0"/>
        <v>315</v>
      </c>
      <c r="K15" s="36">
        <f>IF(SUMIF(Candidate_Management!$A$2:$A$18,A15,Candidate_Management!$H$2:$H$18)=0,"",SUMIF(Candidate_Management!$A$2:$A$18,A15,Candidate_Management!$H$2:$H$18))</f>
        <v>330</v>
      </c>
      <c r="L15" s="37">
        <f>IF(SUMIF(Candidate_Management!$A$2:$A$18,A15,Candidate_Management!$I$2:$I$18)=0,"",SUMIF(Candidate_Management!$A$2:$A$18,A15,Candidate_Management!$I$2:$I$18))</f>
        <v>6</v>
      </c>
      <c r="M15" s="37">
        <f t="shared" si="1"/>
        <v>7</v>
      </c>
      <c r="N15" s="37">
        <f>IF(SUMIF(Candidate_Management!$A$2:$A$18,A15,Candidate_Management!$J$2:$J$18)=0,"",SUMIF(Candidate_Management!$A$2:$A$18,A15,Candidate_Management!$J$2:$J$18))</f>
        <v>3</v>
      </c>
      <c r="O15" s="31" t="s">
        <v>67</v>
      </c>
      <c r="P15" s="38"/>
    </row>
    <row r="16" spans="1:16" s="32" customFormat="1">
      <c r="A16" s="33" t="s">
        <v>12</v>
      </c>
      <c r="B16" s="33" t="s">
        <v>11</v>
      </c>
      <c r="C16" s="33">
        <v>2023</v>
      </c>
      <c r="D16" s="34">
        <v>12033</v>
      </c>
      <c r="E16" s="35">
        <v>3.11</v>
      </c>
      <c r="F16" s="35">
        <v>44.21</v>
      </c>
      <c r="G16" s="35">
        <v>1.79</v>
      </c>
      <c r="H16" s="36">
        <f>IF(SUMIF(Candidate_Management!$A$2:$A$18,A16,Candidate_Management!$G$2:$G$18)=0,"",SUMIF(Candidate_Management!$A$2:$A$18,A16,Candidate_Management!$G$2:$G$18))</f>
        <v>260</v>
      </c>
      <c r="I16" s="36">
        <f>IF(H16="","",SUMIF(Farmer_Year_Results!$A$2:$A$6,C16,Farmer_Year_Results!$G$2:$G$6))</f>
        <v>65</v>
      </c>
      <c r="J16" s="36">
        <f t="shared" si="0"/>
        <v>325</v>
      </c>
      <c r="K16" s="36">
        <f>IF(SUMIF(Candidate_Management!$A$2:$A$18,A16,Candidate_Management!$H$2:$H$18)=0,"",SUMIF(Candidate_Management!$A$2:$A$18,A16,Candidate_Management!$H$2:$H$18))</f>
        <v>330</v>
      </c>
      <c r="L16" s="37">
        <f>IF(SUMIF(Candidate_Management!$A$2:$A$18,A16,Candidate_Management!$I$2:$I$18)=0,"",SUMIF(Candidate_Management!$A$2:$A$18,A16,Candidate_Management!$I$2:$I$18))</f>
        <v>6</v>
      </c>
      <c r="M16" s="37">
        <f t="shared" si="1"/>
        <v>7</v>
      </c>
      <c r="N16" s="37">
        <f>IF(SUMIF(Candidate_Management!$A$2:$A$18,A16,Candidate_Management!$J$2:$J$18)=0,"",SUMIF(Candidate_Management!$A$2:$A$18,A16,Candidate_Management!$J$2:$J$18))</f>
        <v>3</v>
      </c>
      <c r="O16" s="31" t="s">
        <v>67</v>
      </c>
      <c r="P16" s="38"/>
    </row>
    <row r="17" spans="1:16" s="32" customFormat="1">
      <c r="A17" s="33" t="s">
        <v>13</v>
      </c>
      <c r="B17" s="33" t="s">
        <v>11</v>
      </c>
      <c r="C17" s="33">
        <v>2019</v>
      </c>
      <c r="D17" s="34">
        <v>11970</v>
      </c>
      <c r="E17" s="35">
        <v>3.07</v>
      </c>
      <c r="F17" s="35">
        <v>45.01</v>
      </c>
      <c r="G17" s="35">
        <v>1.81</v>
      </c>
      <c r="H17" s="36">
        <f>IF(SUMIF(Candidate_Management!$A$2:$A$18,A17,Candidate_Management!$G$2:$G$18)=0,"",SUMIF(Candidate_Management!$A$2:$A$18,A17,Candidate_Management!$G$2:$G$18))</f>
        <v>190</v>
      </c>
      <c r="I17" s="36">
        <f>IF(H17="","",SUMIF(Farmer_Year_Results!$A$2:$A$6,C17,Farmer_Year_Results!$G$2:$G$6))</f>
        <v>45</v>
      </c>
      <c r="J17" s="36">
        <f t="shared" si="0"/>
        <v>235</v>
      </c>
      <c r="K17" s="36">
        <f>IF(SUMIF(Candidate_Management!$A$2:$A$18,A17,Candidate_Management!$H$2:$H$18)=0,"",SUMIF(Candidate_Management!$A$2:$A$18,A17,Candidate_Management!$H$2:$H$18))</f>
        <v>360</v>
      </c>
      <c r="L17" s="37">
        <f>IF(SUMIF(Candidate_Management!$A$2:$A$18,A17,Candidate_Management!$I$2:$I$18)=0,"",SUMIF(Candidate_Management!$A$2:$A$18,A17,Candidate_Management!$I$2:$I$18))</f>
        <v>4</v>
      </c>
      <c r="M17" s="37">
        <f t="shared" si="1"/>
        <v>5</v>
      </c>
      <c r="N17" s="37">
        <f>IF(SUMIF(Candidate_Management!$A$2:$A$18,A17,Candidate_Management!$J$2:$J$18)=0,"",SUMIF(Candidate_Management!$A$2:$A$18,A17,Candidate_Management!$J$2:$J$18))</f>
        <v>3</v>
      </c>
      <c r="O17" s="31" t="s">
        <v>67</v>
      </c>
      <c r="P17" s="38"/>
    </row>
    <row r="18" spans="1:16" s="32" customFormat="1">
      <c r="A18" s="33" t="s">
        <v>13</v>
      </c>
      <c r="B18" s="33" t="s">
        <v>11</v>
      </c>
      <c r="C18" s="33">
        <v>2020</v>
      </c>
      <c r="D18" s="34">
        <v>11984</v>
      </c>
      <c r="E18" s="35">
        <v>2.94</v>
      </c>
      <c r="F18" s="35">
        <v>44.4</v>
      </c>
      <c r="G18" s="35">
        <v>1.72</v>
      </c>
      <c r="H18" s="36">
        <f>IF(SUMIF(Candidate_Management!$A$2:$A$18,A18,Candidate_Management!$G$2:$G$18)=0,"",SUMIF(Candidate_Management!$A$2:$A$18,A18,Candidate_Management!$G$2:$G$18))</f>
        <v>190</v>
      </c>
      <c r="I18" s="36">
        <f>IF(H18="","",SUMIF(Farmer_Year_Results!$A$2:$A$6,C18,Farmer_Year_Results!$G$2:$G$6))</f>
        <v>52</v>
      </c>
      <c r="J18" s="36">
        <f t="shared" si="0"/>
        <v>242</v>
      </c>
      <c r="K18" s="36">
        <f>IF(SUMIF(Candidate_Management!$A$2:$A$18,A18,Candidate_Management!$H$2:$H$18)=0,"",SUMIF(Candidate_Management!$A$2:$A$18,A18,Candidate_Management!$H$2:$H$18))</f>
        <v>360</v>
      </c>
      <c r="L18" s="37">
        <f>IF(SUMIF(Candidate_Management!$A$2:$A$18,A18,Candidate_Management!$I$2:$I$18)=0,"",SUMIF(Candidate_Management!$A$2:$A$18,A18,Candidate_Management!$I$2:$I$18))</f>
        <v>4</v>
      </c>
      <c r="M18" s="37">
        <f t="shared" si="1"/>
        <v>5</v>
      </c>
      <c r="N18" s="37">
        <f>IF(SUMIF(Candidate_Management!$A$2:$A$18,A18,Candidate_Management!$J$2:$J$18)=0,"",SUMIF(Candidate_Management!$A$2:$A$18,A18,Candidate_Management!$J$2:$J$18))</f>
        <v>3</v>
      </c>
      <c r="O18" s="31" t="s">
        <v>67</v>
      </c>
      <c r="P18" s="38"/>
    </row>
    <row r="19" spans="1:16" s="32" customFormat="1">
      <c r="A19" s="33" t="s">
        <v>13</v>
      </c>
      <c r="B19" s="33" t="s">
        <v>11</v>
      </c>
      <c r="C19" s="33">
        <v>2021</v>
      </c>
      <c r="D19" s="34">
        <v>11995</v>
      </c>
      <c r="E19" s="35">
        <v>2.78</v>
      </c>
      <c r="F19" s="35">
        <v>45.99</v>
      </c>
      <c r="G19" s="35">
        <v>1.66</v>
      </c>
      <c r="H19" s="36">
        <f>IF(SUMIF(Candidate_Management!$A$2:$A$18,A19,Candidate_Management!$G$2:$G$18)=0,"",SUMIF(Candidate_Management!$A$2:$A$18,A19,Candidate_Management!$G$2:$G$18))</f>
        <v>190</v>
      </c>
      <c r="I19" s="36">
        <f>IF(H19="","",SUMIF(Farmer_Year_Results!$A$2:$A$6,C19,Farmer_Year_Results!$G$2:$G$6))</f>
        <v>58</v>
      </c>
      <c r="J19" s="36">
        <f t="shared" si="0"/>
        <v>248</v>
      </c>
      <c r="K19" s="36">
        <f>IF(SUMIF(Candidate_Management!$A$2:$A$18,A19,Candidate_Management!$H$2:$H$18)=0,"",SUMIF(Candidate_Management!$A$2:$A$18,A19,Candidate_Management!$H$2:$H$18))</f>
        <v>360</v>
      </c>
      <c r="L19" s="37">
        <f>IF(SUMIF(Candidate_Management!$A$2:$A$18,A19,Candidate_Management!$I$2:$I$18)=0,"",SUMIF(Candidate_Management!$A$2:$A$18,A19,Candidate_Management!$I$2:$I$18))</f>
        <v>4</v>
      </c>
      <c r="M19" s="37">
        <f t="shared" si="1"/>
        <v>5</v>
      </c>
      <c r="N19" s="37">
        <f>IF(SUMIF(Candidate_Management!$A$2:$A$18,A19,Candidate_Management!$J$2:$J$18)=0,"",SUMIF(Candidate_Management!$A$2:$A$18,A19,Candidate_Management!$J$2:$J$18))</f>
        <v>3</v>
      </c>
      <c r="O19" s="38" t="s">
        <v>67</v>
      </c>
      <c r="P19" s="38"/>
    </row>
    <row r="20" spans="1:16" s="32" customFormat="1">
      <c r="A20" s="33" t="s">
        <v>13</v>
      </c>
      <c r="B20" s="33" t="s">
        <v>11</v>
      </c>
      <c r="C20" s="33">
        <v>2022</v>
      </c>
      <c r="D20" s="34">
        <v>12004</v>
      </c>
      <c r="E20" s="35">
        <v>2.66</v>
      </c>
      <c r="F20" s="35">
        <v>45.01</v>
      </c>
      <c r="G20" s="35">
        <v>1.54</v>
      </c>
      <c r="H20" s="36">
        <f>IF(SUMIF(Candidate_Management!$A$2:$A$18,A20,Candidate_Management!$G$2:$G$18)=0,"",SUMIF(Candidate_Management!$A$2:$A$18,A20,Candidate_Management!$G$2:$G$18))</f>
        <v>190</v>
      </c>
      <c r="I20" s="36">
        <f>IF(H20="","",SUMIF(Farmer_Year_Results!$A$2:$A$6,C20,Farmer_Year_Results!$G$2:$G$6))</f>
        <v>55</v>
      </c>
      <c r="J20" s="36">
        <f t="shared" si="0"/>
        <v>245</v>
      </c>
      <c r="K20" s="36">
        <f>IF(SUMIF(Candidate_Management!$A$2:$A$18,A20,Candidate_Management!$H$2:$H$18)=0,"",SUMIF(Candidate_Management!$A$2:$A$18,A20,Candidate_Management!$H$2:$H$18))</f>
        <v>360</v>
      </c>
      <c r="L20" s="37">
        <f>IF(SUMIF(Candidate_Management!$A$2:$A$18,A20,Candidate_Management!$I$2:$I$18)=0,"",SUMIF(Candidate_Management!$A$2:$A$18,A20,Candidate_Management!$I$2:$I$18))</f>
        <v>4</v>
      </c>
      <c r="M20" s="37">
        <f t="shared" si="1"/>
        <v>5</v>
      </c>
      <c r="N20" s="37">
        <f>IF(SUMIF(Candidate_Management!$A$2:$A$18,A20,Candidate_Management!$J$2:$J$18)=0,"",SUMIF(Candidate_Management!$A$2:$A$18,A20,Candidate_Management!$J$2:$J$18))</f>
        <v>3</v>
      </c>
      <c r="O20" s="38" t="s">
        <v>67</v>
      </c>
      <c r="P20" s="38"/>
    </row>
    <row r="21" spans="1:16" s="32" customFormat="1">
      <c r="A21" s="33" t="s">
        <v>13</v>
      </c>
      <c r="B21" s="33" t="s">
        <v>11</v>
      </c>
      <c r="C21" s="33">
        <v>2023</v>
      </c>
      <c r="D21" s="34">
        <v>12023</v>
      </c>
      <c r="E21" s="35">
        <v>3.19</v>
      </c>
      <c r="F21" s="35">
        <v>44.03</v>
      </c>
      <c r="G21" s="35">
        <v>1.81</v>
      </c>
      <c r="H21" s="36">
        <f>IF(SUMIF(Candidate_Management!$A$2:$A$18,A21,Candidate_Management!$G$2:$G$18)=0,"",SUMIF(Candidate_Management!$A$2:$A$18,A21,Candidate_Management!$G$2:$G$18))</f>
        <v>190</v>
      </c>
      <c r="I21" s="36">
        <f>IF(H21="","",SUMIF(Farmer_Year_Results!$A$2:$A$6,C21,Farmer_Year_Results!$G$2:$G$6))</f>
        <v>65</v>
      </c>
      <c r="J21" s="36">
        <f t="shared" si="0"/>
        <v>255</v>
      </c>
      <c r="K21" s="36">
        <f>IF(SUMIF(Candidate_Management!$A$2:$A$18,A21,Candidate_Management!$H$2:$H$18)=0,"",SUMIF(Candidate_Management!$A$2:$A$18,A21,Candidate_Management!$H$2:$H$18))</f>
        <v>360</v>
      </c>
      <c r="L21" s="37">
        <f>IF(SUMIF(Candidate_Management!$A$2:$A$18,A21,Candidate_Management!$I$2:$I$18)=0,"",SUMIF(Candidate_Management!$A$2:$A$18,A21,Candidate_Management!$I$2:$I$18))</f>
        <v>4</v>
      </c>
      <c r="M21" s="37">
        <f t="shared" si="1"/>
        <v>5</v>
      </c>
      <c r="N21" s="37">
        <f>IF(SUMIF(Candidate_Management!$A$2:$A$18,A21,Candidate_Management!$J$2:$J$18)=0,"",SUMIF(Candidate_Management!$A$2:$A$18,A21,Candidate_Management!$J$2:$J$18))</f>
        <v>3</v>
      </c>
      <c r="O21" s="38" t="s">
        <v>67</v>
      </c>
      <c r="P21" s="38"/>
    </row>
    <row r="22" spans="1:16" s="32" customFormat="1">
      <c r="A22" s="33" t="s">
        <v>14</v>
      </c>
      <c r="B22" s="33" t="s">
        <v>11</v>
      </c>
      <c r="C22" s="33">
        <v>2019</v>
      </c>
      <c r="D22" s="34">
        <v>11966</v>
      </c>
      <c r="E22" s="35">
        <v>3.1</v>
      </c>
      <c r="F22" s="35">
        <v>45.02</v>
      </c>
      <c r="G22" s="35">
        <v>1.81</v>
      </c>
      <c r="H22" s="36">
        <f>IF(SUMIF(Candidate_Management!$A$2:$A$18,A22,Candidate_Management!$G$2:$G$18)=0,"",SUMIF(Candidate_Management!$A$2:$A$18,A22,Candidate_Management!$G$2:$G$18))</f>
        <v>215</v>
      </c>
      <c r="I22" s="36">
        <f>IF(H22="","",SUMIF(Farmer_Year_Results!$A$2:$A$6,C22,Farmer_Year_Results!$G$2:$G$6))</f>
        <v>45</v>
      </c>
      <c r="J22" s="36">
        <f t="shared" si="0"/>
        <v>260</v>
      </c>
      <c r="K22" s="36">
        <f>IF(SUMIF(Candidate_Management!$A$2:$A$18,A22,Candidate_Management!$H$2:$H$18)=0,"",SUMIF(Candidate_Management!$A$2:$A$18,A22,Candidate_Management!$H$2:$H$18))</f>
        <v>300</v>
      </c>
      <c r="L22" s="37">
        <f>IF(SUMIF(Candidate_Management!$A$2:$A$18,A22,Candidate_Management!$I$2:$I$18)=0,"",SUMIF(Candidate_Management!$A$2:$A$18,A22,Candidate_Management!$I$2:$I$18))</f>
        <v>4</v>
      </c>
      <c r="M22" s="37">
        <f t="shared" si="1"/>
        <v>5</v>
      </c>
      <c r="N22" s="37">
        <f>IF(SUMIF(Candidate_Management!$A$2:$A$18,A22,Candidate_Management!$J$2:$J$18)=0,"",SUMIF(Candidate_Management!$A$2:$A$18,A22,Candidate_Management!$J$2:$J$18))</f>
        <v>4</v>
      </c>
      <c r="O22" s="38" t="s">
        <v>67</v>
      </c>
      <c r="P22" s="38"/>
    </row>
    <row r="23" spans="1:16" s="32" customFormat="1">
      <c r="A23" s="33" t="s">
        <v>14</v>
      </c>
      <c r="B23" s="33" t="s">
        <v>11</v>
      </c>
      <c r="C23" s="33">
        <v>2020</v>
      </c>
      <c r="D23" s="34">
        <v>11973</v>
      </c>
      <c r="E23" s="35">
        <v>2.98</v>
      </c>
      <c r="F23" s="35">
        <v>44.51</v>
      </c>
      <c r="G23" s="35">
        <v>1.72</v>
      </c>
      <c r="H23" s="36">
        <f>IF(SUMIF(Candidate_Management!$A$2:$A$18,A23,Candidate_Management!$G$2:$G$18)=0,"",SUMIF(Candidate_Management!$A$2:$A$18,A23,Candidate_Management!$G$2:$G$18))</f>
        <v>215</v>
      </c>
      <c r="I23" s="36">
        <f>IF(H23="","",SUMIF(Farmer_Year_Results!$A$2:$A$6,C23,Farmer_Year_Results!$G$2:$G$6))</f>
        <v>52</v>
      </c>
      <c r="J23" s="36">
        <f t="shared" si="0"/>
        <v>267</v>
      </c>
      <c r="K23" s="36">
        <f>IF(SUMIF(Candidate_Management!$A$2:$A$18,A23,Candidate_Management!$H$2:$H$18)=0,"",SUMIF(Candidate_Management!$A$2:$A$18,A23,Candidate_Management!$H$2:$H$18))</f>
        <v>300</v>
      </c>
      <c r="L23" s="37">
        <f>IF(SUMIF(Candidate_Management!$A$2:$A$18,A23,Candidate_Management!$I$2:$I$18)=0,"",SUMIF(Candidate_Management!$A$2:$A$18,A23,Candidate_Management!$I$2:$I$18))</f>
        <v>4</v>
      </c>
      <c r="M23" s="37">
        <f t="shared" si="1"/>
        <v>5</v>
      </c>
      <c r="N23" s="37">
        <f>IF(SUMIF(Candidate_Management!$A$2:$A$18,A23,Candidate_Management!$J$2:$J$18)=0,"",SUMIF(Candidate_Management!$A$2:$A$18,A23,Candidate_Management!$J$2:$J$18))</f>
        <v>4</v>
      </c>
      <c r="O23" s="38" t="s">
        <v>67</v>
      </c>
      <c r="P23" s="38"/>
    </row>
    <row r="24" spans="1:16" s="32" customFormat="1">
      <c r="A24" s="33" t="s">
        <v>14</v>
      </c>
      <c r="B24" s="33" t="s">
        <v>11</v>
      </c>
      <c r="C24" s="33">
        <v>2021</v>
      </c>
      <c r="D24" s="34">
        <v>11981</v>
      </c>
      <c r="E24" s="35">
        <v>2.81</v>
      </c>
      <c r="F24" s="35">
        <v>46.01</v>
      </c>
      <c r="G24" s="35">
        <v>1.62</v>
      </c>
      <c r="H24" s="36">
        <f>IF(SUMIF(Candidate_Management!$A$2:$A$18,A24,Candidate_Management!$G$2:$G$18)=0,"",SUMIF(Candidate_Management!$A$2:$A$18,A24,Candidate_Management!$G$2:$G$18))</f>
        <v>215</v>
      </c>
      <c r="I24" s="36">
        <f>IF(H24="","",SUMIF(Farmer_Year_Results!$A$2:$A$6,C24,Farmer_Year_Results!$G$2:$G$6))</f>
        <v>58</v>
      </c>
      <c r="J24" s="36">
        <f t="shared" si="0"/>
        <v>273</v>
      </c>
      <c r="K24" s="36">
        <f>IF(SUMIF(Candidate_Management!$A$2:$A$18,A24,Candidate_Management!$H$2:$H$18)=0,"",SUMIF(Candidate_Management!$A$2:$A$18,A24,Candidate_Management!$H$2:$H$18))</f>
        <v>300</v>
      </c>
      <c r="L24" s="37">
        <f>IF(SUMIF(Candidate_Management!$A$2:$A$18,A24,Candidate_Management!$I$2:$I$18)=0,"",SUMIF(Candidate_Management!$A$2:$A$18,A24,Candidate_Management!$I$2:$I$18))</f>
        <v>4</v>
      </c>
      <c r="M24" s="37">
        <f t="shared" si="1"/>
        <v>5</v>
      </c>
      <c r="N24" s="37">
        <f>IF(SUMIF(Candidate_Management!$A$2:$A$18,A24,Candidate_Management!$J$2:$J$18)=0,"",SUMIF(Candidate_Management!$A$2:$A$18,A24,Candidate_Management!$J$2:$J$18))</f>
        <v>4</v>
      </c>
      <c r="O24" s="38" t="s">
        <v>67</v>
      </c>
      <c r="P24" s="38"/>
    </row>
    <row r="25" spans="1:16" s="32" customFormat="1">
      <c r="A25" s="33" t="s">
        <v>14</v>
      </c>
      <c r="B25" s="33" t="s">
        <v>11</v>
      </c>
      <c r="C25" s="33">
        <v>2022</v>
      </c>
      <c r="D25" s="34">
        <v>11990</v>
      </c>
      <c r="E25" s="35">
        <v>2.72</v>
      </c>
      <c r="F25" s="35">
        <v>45.02</v>
      </c>
      <c r="G25" s="35">
        <v>1.54</v>
      </c>
      <c r="H25" s="36">
        <f>IF(SUMIF(Candidate_Management!$A$2:$A$18,A25,Candidate_Management!$G$2:$G$18)=0,"",SUMIF(Candidate_Management!$A$2:$A$18,A25,Candidate_Management!$G$2:$G$18))</f>
        <v>215</v>
      </c>
      <c r="I25" s="36">
        <f>IF(H25="","",SUMIF(Farmer_Year_Results!$A$2:$A$6,C25,Farmer_Year_Results!$G$2:$G$6))</f>
        <v>55</v>
      </c>
      <c r="J25" s="36">
        <f t="shared" si="0"/>
        <v>270</v>
      </c>
      <c r="K25" s="36">
        <f>IF(SUMIF(Candidate_Management!$A$2:$A$18,A25,Candidate_Management!$H$2:$H$18)=0,"",SUMIF(Candidate_Management!$A$2:$A$18,A25,Candidate_Management!$H$2:$H$18))</f>
        <v>300</v>
      </c>
      <c r="L25" s="37">
        <f>IF(SUMIF(Candidate_Management!$A$2:$A$18,A25,Candidate_Management!$I$2:$I$18)=0,"",SUMIF(Candidate_Management!$A$2:$A$18,A25,Candidate_Management!$I$2:$I$18))</f>
        <v>4</v>
      </c>
      <c r="M25" s="37">
        <f t="shared" si="1"/>
        <v>5</v>
      </c>
      <c r="N25" s="37">
        <f>IF(SUMIF(Candidate_Management!$A$2:$A$18,A25,Candidate_Management!$J$2:$J$18)=0,"",SUMIF(Candidate_Management!$A$2:$A$18,A25,Candidate_Management!$J$2:$J$18))</f>
        <v>4</v>
      </c>
      <c r="O25" s="38" t="s">
        <v>67</v>
      </c>
      <c r="P25" s="38"/>
    </row>
    <row r="26" spans="1:16" s="32" customFormat="1">
      <c r="A26" s="33" t="s">
        <v>14</v>
      </c>
      <c r="B26" s="33" t="s">
        <v>11</v>
      </c>
      <c r="C26" s="33">
        <v>2023</v>
      </c>
      <c r="D26" s="34">
        <v>12028</v>
      </c>
      <c r="E26" s="35">
        <v>3.22</v>
      </c>
      <c r="F26" s="35">
        <v>44.03</v>
      </c>
      <c r="G26" s="35">
        <v>1.81</v>
      </c>
      <c r="H26" s="36">
        <f>IF(SUMIF(Candidate_Management!$A$2:$A$18,A26,Candidate_Management!$G$2:$G$18)=0,"",SUMIF(Candidate_Management!$A$2:$A$18,A26,Candidate_Management!$G$2:$G$18))</f>
        <v>215</v>
      </c>
      <c r="I26" s="36">
        <f>IF(H26="","",SUMIF(Farmer_Year_Results!$A$2:$A$6,C26,Farmer_Year_Results!$G$2:$G$6))</f>
        <v>65</v>
      </c>
      <c r="J26" s="36">
        <f t="shared" si="0"/>
        <v>280</v>
      </c>
      <c r="K26" s="36">
        <f>IF(SUMIF(Candidate_Management!$A$2:$A$18,A26,Candidate_Management!$H$2:$H$18)=0,"",SUMIF(Candidate_Management!$A$2:$A$18,A26,Candidate_Management!$H$2:$H$18))</f>
        <v>300</v>
      </c>
      <c r="L26" s="37">
        <f>IF(SUMIF(Candidate_Management!$A$2:$A$18,A26,Candidate_Management!$I$2:$I$18)=0,"",SUMIF(Candidate_Management!$A$2:$A$18,A26,Candidate_Management!$I$2:$I$18))</f>
        <v>4</v>
      </c>
      <c r="M26" s="37">
        <f t="shared" si="1"/>
        <v>5</v>
      </c>
      <c r="N26" s="37">
        <f>IF(SUMIF(Candidate_Management!$A$2:$A$18,A26,Candidate_Management!$J$2:$J$18)=0,"",SUMIF(Candidate_Management!$A$2:$A$18,A26,Candidate_Management!$J$2:$J$18))</f>
        <v>4</v>
      </c>
      <c r="O26" s="38" t="s">
        <v>67</v>
      </c>
      <c r="P26" s="38"/>
    </row>
    <row r="27" spans="1:16" s="32" customFormat="1">
      <c r="A27" s="33" t="s">
        <v>15</v>
      </c>
      <c r="B27" s="33" t="s">
        <v>11</v>
      </c>
      <c r="C27" s="33">
        <v>2019</v>
      </c>
      <c r="D27" s="34">
        <v>11966</v>
      </c>
      <c r="E27" s="35">
        <v>2.98</v>
      </c>
      <c r="F27" s="35">
        <v>45.02</v>
      </c>
      <c r="G27" s="35">
        <v>1.81</v>
      </c>
      <c r="H27" s="36">
        <f>IF(SUMIF(Candidate_Management!$A$2:$A$18,A27,Candidate_Management!$G$2:$G$18)=0,"",SUMIF(Candidate_Management!$A$2:$A$18,A27,Candidate_Management!$G$2:$G$18))</f>
        <v>200</v>
      </c>
      <c r="I27" s="36">
        <f>IF(H27="","",SUMIF(Farmer_Year_Results!$A$2:$A$6,C27,Farmer_Year_Results!$G$2:$G$6))</f>
        <v>45</v>
      </c>
      <c r="J27" s="36">
        <f t="shared" si="0"/>
        <v>245</v>
      </c>
      <c r="K27" s="36">
        <f>IF(SUMIF(Candidate_Management!$A$2:$A$18,A27,Candidate_Management!$H$2:$H$18)=0,"",SUMIF(Candidate_Management!$A$2:$A$18,A27,Candidate_Management!$H$2:$H$18))</f>
        <v>270</v>
      </c>
      <c r="L27" s="37">
        <f>IF(SUMIF(Candidate_Management!$A$2:$A$18,A27,Candidate_Management!$I$2:$I$18)=0,"",SUMIF(Candidate_Management!$A$2:$A$18,A27,Candidate_Management!$I$2:$I$18))</f>
        <v>4</v>
      </c>
      <c r="M27" s="37">
        <f t="shared" si="1"/>
        <v>5</v>
      </c>
      <c r="N27" s="37">
        <f>IF(SUMIF(Candidate_Management!$A$2:$A$18,A27,Candidate_Management!$J$2:$J$18)=0,"",SUMIF(Candidate_Management!$A$2:$A$18,A27,Candidate_Management!$J$2:$J$18))</f>
        <v>3</v>
      </c>
      <c r="O27" s="38" t="s">
        <v>67</v>
      </c>
      <c r="P27" s="38"/>
    </row>
    <row r="28" spans="1:16" s="32" customFormat="1">
      <c r="A28" s="33" t="s">
        <v>15</v>
      </c>
      <c r="B28" s="33" t="s">
        <v>11</v>
      </c>
      <c r="C28" s="33">
        <v>2020</v>
      </c>
      <c r="D28" s="34">
        <v>11972</v>
      </c>
      <c r="E28" s="35">
        <v>2.87</v>
      </c>
      <c r="F28" s="35">
        <v>44.53</v>
      </c>
      <c r="G28" s="35">
        <v>1.72</v>
      </c>
      <c r="H28" s="36">
        <f>IF(SUMIF(Candidate_Management!$A$2:$A$18,A28,Candidate_Management!$G$2:$G$18)=0,"",SUMIF(Candidate_Management!$A$2:$A$18,A28,Candidate_Management!$G$2:$G$18))</f>
        <v>200</v>
      </c>
      <c r="I28" s="36">
        <f>IF(H28="","",SUMIF(Farmer_Year_Results!$A$2:$A$6,C28,Farmer_Year_Results!$G$2:$G$6))</f>
        <v>52</v>
      </c>
      <c r="J28" s="36">
        <f t="shared" si="0"/>
        <v>252</v>
      </c>
      <c r="K28" s="36">
        <f>IF(SUMIF(Candidate_Management!$A$2:$A$18,A28,Candidate_Management!$H$2:$H$18)=0,"",SUMIF(Candidate_Management!$A$2:$A$18,A28,Candidate_Management!$H$2:$H$18))</f>
        <v>270</v>
      </c>
      <c r="L28" s="37">
        <f>IF(SUMIF(Candidate_Management!$A$2:$A$18,A28,Candidate_Management!$I$2:$I$18)=0,"",SUMIF(Candidate_Management!$A$2:$A$18,A28,Candidate_Management!$I$2:$I$18))</f>
        <v>4</v>
      </c>
      <c r="M28" s="37">
        <f t="shared" si="1"/>
        <v>5</v>
      </c>
      <c r="N28" s="37">
        <f>IF(SUMIF(Candidate_Management!$A$2:$A$18,A28,Candidate_Management!$J$2:$J$18)=0,"",SUMIF(Candidate_Management!$A$2:$A$18,A28,Candidate_Management!$J$2:$J$18))</f>
        <v>3</v>
      </c>
      <c r="O28" s="38" t="s">
        <v>67</v>
      </c>
      <c r="P28" s="38"/>
    </row>
    <row r="29" spans="1:16" s="32" customFormat="1">
      <c r="A29" s="33" t="s">
        <v>15</v>
      </c>
      <c r="B29" s="33" t="s">
        <v>11</v>
      </c>
      <c r="C29" s="33">
        <v>2021</v>
      </c>
      <c r="D29" s="34">
        <v>11985</v>
      </c>
      <c r="E29" s="35">
        <v>2.71</v>
      </c>
      <c r="F29" s="35">
        <v>46.01</v>
      </c>
      <c r="G29" s="35">
        <v>1.67</v>
      </c>
      <c r="H29" s="36">
        <f>IF(SUMIF(Candidate_Management!$A$2:$A$18,A29,Candidate_Management!$G$2:$G$18)=0,"",SUMIF(Candidate_Management!$A$2:$A$18,A29,Candidate_Management!$G$2:$G$18))</f>
        <v>200</v>
      </c>
      <c r="I29" s="36">
        <f>IF(H29="","",SUMIF(Farmer_Year_Results!$A$2:$A$6,C29,Farmer_Year_Results!$G$2:$G$6))</f>
        <v>58</v>
      </c>
      <c r="J29" s="36">
        <f t="shared" si="0"/>
        <v>258</v>
      </c>
      <c r="K29" s="36">
        <f>IF(SUMIF(Candidate_Management!$A$2:$A$18,A29,Candidate_Management!$H$2:$H$18)=0,"",SUMIF(Candidate_Management!$A$2:$A$18,A29,Candidate_Management!$H$2:$H$18))</f>
        <v>270</v>
      </c>
      <c r="L29" s="37">
        <f>IF(SUMIF(Candidate_Management!$A$2:$A$18,A29,Candidate_Management!$I$2:$I$18)=0,"",SUMIF(Candidate_Management!$A$2:$A$18,A29,Candidate_Management!$I$2:$I$18))</f>
        <v>4</v>
      </c>
      <c r="M29" s="37">
        <f t="shared" si="1"/>
        <v>5</v>
      </c>
      <c r="N29" s="37">
        <f>IF(SUMIF(Candidate_Management!$A$2:$A$18,A29,Candidate_Management!$J$2:$J$18)=0,"",SUMIF(Candidate_Management!$A$2:$A$18,A29,Candidate_Management!$J$2:$J$18))</f>
        <v>3</v>
      </c>
      <c r="O29" s="38" t="s">
        <v>67</v>
      </c>
      <c r="P29" s="38"/>
    </row>
    <row r="30" spans="1:16" s="32" customFormat="1">
      <c r="A30" s="33" t="s">
        <v>15</v>
      </c>
      <c r="B30" s="33" t="s">
        <v>11</v>
      </c>
      <c r="C30" s="33">
        <v>2022</v>
      </c>
      <c r="D30" s="34">
        <v>11990</v>
      </c>
      <c r="E30" s="35">
        <v>2.62</v>
      </c>
      <c r="F30" s="35">
        <v>45.02</v>
      </c>
      <c r="G30" s="35">
        <v>1.54</v>
      </c>
      <c r="H30" s="36">
        <f>IF(SUMIF(Candidate_Management!$A$2:$A$18,A30,Candidate_Management!$G$2:$G$18)=0,"",SUMIF(Candidate_Management!$A$2:$A$18,A30,Candidate_Management!$G$2:$G$18))</f>
        <v>200</v>
      </c>
      <c r="I30" s="36">
        <f>IF(H30="","",SUMIF(Farmer_Year_Results!$A$2:$A$6,C30,Farmer_Year_Results!$G$2:$G$6))</f>
        <v>55</v>
      </c>
      <c r="J30" s="36">
        <f t="shared" si="0"/>
        <v>255</v>
      </c>
      <c r="K30" s="36">
        <f>IF(SUMIF(Candidate_Management!$A$2:$A$18,A30,Candidate_Management!$H$2:$H$18)=0,"",SUMIF(Candidate_Management!$A$2:$A$18,A30,Candidate_Management!$H$2:$H$18))</f>
        <v>270</v>
      </c>
      <c r="L30" s="37">
        <f>IF(SUMIF(Candidate_Management!$A$2:$A$18,A30,Candidate_Management!$I$2:$I$18)=0,"",SUMIF(Candidate_Management!$A$2:$A$18,A30,Candidate_Management!$I$2:$I$18))</f>
        <v>4</v>
      </c>
      <c r="M30" s="37">
        <f t="shared" si="1"/>
        <v>5</v>
      </c>
      <c r="N30" s="37">
        <f>IF(SUMIF(Candidate_Management!$A$2:$A$18,A30,Candidate_Management!$J$2:$J$18)=0,"",SUMIF(Candidate_Management!$A$2:$A$18,A30,Candidate_Management!$J$2:$J$18))</f>
        <v>3</v>
      </c>
      <c r="O30" s="38" t="s">
        <v>67</v>
      </c>
      <c r="P30" s="38"/>
    </row>
    <row r="31" spans="1:16" s="32" customFormat="1">
      <c r="A31" s="33" t="s">
        <v>15</v>
      </c>
      <c r="B31" s="33" t="s">
        <v>11</v>
      </c>
      <c r="C31" s="33">
        <v>2023</v>
      </c>
      <c r="D31" s="34">
        <v>12035</v>
      </c>
      <c r="E31" s="35">
        <v>3.12</v>
      </c>
      <c r="F31" s="35">
        <v>44.04</v>
      </c>
      <c r="G31" s="35">
        <v>1.82</v>
      </c>
      <c r="H31" s="36">
        <f>IF(SUMIF(Candidate_Management!$A$2:$A$18,A31,Candidate_Management!$G$2:$G$18)=0,"",SUMIF(Candidate_Management!$A$2:$A$18,A31,Candidate_Management!$G$2:$G$18))</f>
        <v>200</v>
      </c>
      <c r="I31" s="36">
        <f>IF(H31="","",SUMIF(Farmer_Year_Results!$A$2:$A$6,C31,Farmer_Year_Results!$G$2:$G$6))</f>
        <v>65</v>
      </c>
      <c r="J31" s="36">
        <f t="shared" si="0"/>
        <v>265</v>
      </c>
      <c r="K31" s="36">
        <f>IF(SUMIF(Candidate_Management!$A$2:$A$18,A31,Candidate_Management!$H$2:$H$18)=0,"",SUMIF(Candidate_Management!$A$2:$A$18,A31,Candidate_Management!$H$2:$H$18))</f>
        <v>270</v>
      </c>
      <c r="L31" s="37">
        <f>IF(SUMIF(Candidate_Management!$A$2:$A$18,A31,Candidate_Management!$I$2:$I$18)=0,"",SUMIF(Candidate_Management!$A$2:$A$18,A31,Candidate_Management!$I$2:$I$18))</f>
        <v>4</v>
      </c>
      <c r="M31" s="37">
        <f t="shared" si="1"/>
        <v>5</v>
      </c>
      <c r="N31" s="37">
        <f>IF(SUMIF(Candidate_Management!$A$2:$A$18,A31,Candidate_Management!$J$2:$J$18)=0,"",SUMIF(Candidate_Management!$A$2:$A$18,A31,Candidate_Management!$J$2:$J$18))</f>
        <v>3</v>
      </c>
      <c r="O31" s="38" t="s">
        <v>67</v>
      </c>
      <c r="P31" s="38"/>
    </row>
    <row r="32" spans="1:16" s="32" customFormat="1">
      <c r="A32" s="33" t="s">
        <v>16</v>
      </c>
      <c r="B32" s="33" t="s">
        <v>11</v>
      </c>
      <c r="C32" s="33">
        <v>2019</v>
      </c>
      <c r="D32" s="34">
        <v>11958</v>
      </c>
      <c r="E32" s="35">
        <v>3.06</v>
      </c>
      <c r="F32" s="35">
        <v>45.13</v>
      </c>
      <c r="G32" s="35">
        <v>1.81</v>
      </c>
      <c r="H32" s="36">
        <f>IF(SUMIF(Candidate_Management!$A$2:$A$18,A32,Candidate_Management!$G$2:$G$18)=0,"",SUMIF(Candidate_Management!$A$2:$A$18,A32,Candidate_Management!$G$2:$G$18))</f>
        <v>245</v>
      </c>
      <c r="I32" s="36">
        <f>IF(H32="","",SUMIF(Farmer_Year_Results!$A$2:$A$6,C32,Farmer_Year_Results!$G$2:$G$6))</f>
        <v>45</v>
      </c>
      <c r="J32" s="36">
        <f t="shared" si="0"/>
        <v>290</v>
      </c>
      <c r="K32" s="36">
        <f>IF(SUMIF(Candidate_Management!$A$2:$A$18,A32,Candidate_Management!$H$2:$H$18)=0,"",SUMIF(Candidate_Management!$A$2:$A$18,A32,Candidate_Management!$H$2:$H$18))</f>
        <v>360</v>
      </c>
      <c r="L32" s="37">
        <f>IF(SUMIF(Candidate_Management!$A$2:$A$18,A32,Candidate_Management!$I$2:$I$18)=0,"",SUMIF(Candidate_Management!$A$2:$A$18,A32,Candidate_Management!$I$2:$I$18))</f>
        <v>6</v>
      </c>
      <c r="M32" s="37">
        <f t="shared" si="1"/>
        <v>7</v>
      </c>
      <c r="N32" s="37">
        <f>IF(SUMIF(Candidate_Management!$A$2:$A$18,A32,Candidate_Management!$J$2:$J$18)=0,"",SUMIF(Candidate_Management!$A$2:$A$18,A32,Candidate_Management!$J$2:$J$18))</f>
        <v>3</v>
      </c>
      <c r="O32" s="38" t="s">
        <v>67</v>
      </c>
      <c r="P32" s="38"/>
    </row>
    <row r="33" spans="1:16" s="32" customFormat="1">
      <c r="A33" s="33" t="s">
        <v>16</v>
      </c>
      <c r="B33" s="33" t="s">
        <v>11</v>
      </c>
      <c r="C33" s="33">
        <v>2020</v>
      </c>
      <c r="D33" s="34">
        <v>11966</v>
      </c>
      <c r="E33" s="35">
        <v>2.96</v>
      </c>
      <c r="F33" s="35">
        <v>44.62</v>
      </c>
      <c r="G33" s="35">
        <v>1.72</v>
      </c>
      <c r="H33" s="36">
        <f>IF(SUMIF(Candidate_Management!$A$2:$A$18,A33,Candidate_Management!$G$2:$G$18)=0,"",SUMIF(Candidate_Management!$A$2:$A$18,A33,Candidate_Management!$G$2:$G$18))</f>
        <v>245</v>
      </c>
      <c r="I33" s="36">
        <f>IF(H33="","",SUMIF(Farmer_Year_Results!$A$2:$A$6,C33,Farmer_Year_Results!$G$2:$G$6))</f>
        <v>52</v>
      </c>
      <c r="J33" s="36">
        <f t="shared" si="0"/>
        <v>297</v>
      </c>
      <c r="K33" s="36">
        <f>IF(SUMIF(Candidate_Management!$A$2:$A$18,A33,Candidate_Management!$H$2:$H$18)=0,"",SUMIF(Candidate_Management!$A$2:$A$18,A33,Candidate_Management!$H$2:$H$18))</f>
        <v>360</v>
      </c>
      <c r="L33" s="37">
        <f>IF(SUMIF(Candidate_Management!$A$2:$A$18,A33,Candidate_Management!$I$2:$I$18)=0,"",SUMIF(Candidate_Management!$A$2:$A$18,A33,Candidate_Management!$I$2:$I$18))</f>
        <v>6</v>
      </c>
      <c r="M33" s="37">
        <f t="shared" si="1"/>
        <v>7</v>
      </c>
      <c r="N33" s="37">
        <f>IF(SUMIF(Candidate_Management!$A$2:$A$18,A33,Candidate_Management!$J$2:$J$18)=0,"",SUMIF(Candidate_Management!$A$2:$A$18,A33,Candidate_Management!$J$2:$J$18))</f>
        <v>3</v>
      </c>
      <c r="O33" s="38" t="s">
        <v>67</v>
      </c>
      <c r="P33" s="38"/>
    </row>
    <row r="34" spans="1:16" s="32" customFormat="1">
      <c r="A34" s="33" t="s">
        <v>16</v>
      </c>
      <c r="B34" s="33" t="s">
        <v>11</v>
      </c>
      <c r="C34" s="33">
        <v>2021</v>
      </c>
      <c r="D34" s="34">
        <v>11973</v>
      </c>
      <c r="E34" s="35">
        <v>2.73</v>
      </c>
      <c r="F34" s="35">
        <v>46.11</v>
      </c>
      <c r="G34" s="35">
        <v>1.66</v>
      </c>
      <c r="H34" s="36">
        <f>IF(SUMIF(Candidate_Management!$A$2:$A$18,A34,Candidate_Management!$G$2:$G$18)=0,"",SUMIF(Candidate_Management!$A$2:$A$18,A34,Candidate_Management!$G$2:$G$18))</f>
        <v>245</v>
      </c>
      <c r="I34" s="36">
        <f>IF(H34="","",SUMIF(Farmer_Year_Results!$A$2:$A$6,C34,Farmer_Year_Results!$G$2:$G$6))</f>
        <v>58</v>
      </c>
      <c r="J34" s="36">
        <f t="shared" ref="J34:J65" si="2">IF(H34="","",H34+I34)</f>
        <v>303</v>
      </c>
      <c r="K34" s="36">
        <f>IF(SUMIF(Candidate_Management!$A$2:$A$18,A34,Candidate_Management!$H$2:$H$18)=0,"",SUMIF(Candidate_Management!$A$2:$A$18,A34,Candidate_Management!$H$2:$H$18))</f>
        <v>360</v>
      </c>
      <c r="L34" s="37">
        <f>IF(SUMIF(Candidate_Management!$A$2:$A$18,A34,Candidate_Management!$I$2:$I$18)=0,"",SUMIF(Candidate_Management!$A$2:$A$18,A34,Candidate_Management!$I$2:$I$18))</f>
        <v>6</v>
      </c>
      <c r="M34" s="37">
        <f t="shared" ref="M34:M65" si="3">IF(L34="","",L34+1)</f>
        <v>7</v>
      </c>
      <c r="N34" s="37">
        <f>IF(SUMIF(Candidate_Management!$A$2:$A$18,A34,Candidate_Management!$J$2:$J$18)=0,"",SUMIF(Candidate_Management!$A$2:$A$18,A34,Candidate_Management!$J$2:$J$18))</f>
        <v>3</v>
      </c>
      <c r="O34" s="38" t="s">
        <v>67</v>
      </c>
      <c r="P34" s="38"/>
    </row>
    <row r="35" spans="1:16" s="32" customFormat="1">
      <c r="A35" s="33" t="s">
        <v>16</v>
      </c>
      <c r="B35" s="33" t="s">
        <v>11</v>
      </c>
      <c r="C35" s="33">
        <v>2022</v>
      </c>
      <c r="D35" s="34">
        <v>11985</v>
      </c>
      <c r="E35" s="35">
        <v>2.65</v>
      </c>
      <c r="F35" s="35">
        <v>45.12</v>
      </c>
      <c r="G35" s="35">
        <v>1.54</v>
      </c>
      <c r="H35" s="36">
        <f>IF(SUMIF(Candidate_Management!$A$2:$A$18,A35,Candidate_Management!$G$2:$G$18)=0,"",SUMIF(Candidate_Management!$A$2:$A$18,A35,Candidate_Management!$G$2:$G$18))</f>
        <v>245</v>
      </c>
      <c r="I35" s="36">
        <f>IF(H35="","",SUMIF(Farmer_Year_Results!$A$2:$A$6,C35,Farmer_Year_Results!$G$2:$G$6))</f>
        <v>55</v>
      </c>
      <c r="J35" s="36">
        <f t="shared" si="2"/>
        <v>300</v>
      </c>
      <c r="K35" s="36">
        <f>IF(SUMIF(Candidate_Management!$A$2:$A$18,A35,Candidate_Management!$H$2:$H$18)=0,"",SUMIF(Candidate_Management!$A$2:$A$18,A35,Candidate_Management!$H$2:$H$18))</f>
        <v>360</v>
      </c>
      <c r="L35" s="37">
        <f>IF(SUMIF(Candidate_Management!$A$2:$A$18,A35,Candidate_Management!$I$2:$I$18)=0,"",SUMIF(Candidate_Management!$A$2:$A$18,A35,Candidate_Management!$I$2:$I$18))</f>
        <v>6</v>
      </c>
      <c r="M35" s="37">
        <f t="shared" si="3"/>
        <v>7</v>
      </c>
      <c r="N35" s="37">
        <f>IF(SUMIF(Candidate_Management!$A$2:$A$18,A35,Candidate_Management!$J$2:$J$18)=0,"",SUMIF(Candidate_Management!$A$2:$A$18,A35,Candidate_Management!$J$2:$J$18))</f>
        <v>3</v>
      </c>
      <c r="O35" s="38" t="s">
        <v>67</v>
      </c>
      <c r="P35" s="38"/>
    </row>
    <row r="36" spans="1:16" s="32" customFormat="1">
      <c r="A36" s="33" t="s">
        <v>16</v>
      </c>
      <c r="B36" s="33" t="s">
        <v>11</v>
      </c>
      <c r="C36" s="33">
        <v>2023</v>
      </c>
      <c r="D36" s="34">
        <v>12027</v>
      </c>
      <c r="E36" s="35">
        <v>3.16</v>
      </c>
      <c r="F36" s="35">
        <v>44.13</v>
      </c>
      <c r="G36" s="35">
        <v>1.81</v>
      </c>
      <c r="H36" s="36">
        <f>IF(SUMIF(Candidate_Management!$A$2:$A$18,A36,Candidate_Management!$G$2:$G$18)=0,"",SUMIF(Candidate_Management!$A$2:$A$18,A36,Candidate_Management!$G$2:$G$18))</f>
        <v>245</v>
      </c>
      <c r="I36" s="36">
        <f>IF(H36="","",SUMIF(Farmer_Year_Results!$A$2:$A$6,C36,Farmer_Year_Results!$G$2:$G$6))</f>
        <v>65</v>
      </c>
      <c r="J36" s="36">
        <f t="shared" si="2"/>
        <v>310</v>
      </c>
      <c r="K36" s="36">
        <f>IF(SUMIF(Candidate_Management!$A$2:$A$18,A36,Candidate_Management!$H$2:$H$18)=0,"",SUMIF(Candidate_Management!$A$2:$A$18,A36,Candidate_Management!$H$2:$H$18))</f>
        <v>360</v>
      </c>
      <c r="L36" s="37">
        <f>IF(SUMIF(Candidate_Management!$A$2:$A$18,A36,Candidate_Management!$I$2:$I$18)=0,"",SUMIF(Candidate_Management!$A$2:$A$18,A36,Candidate_Management!$I$2:$I$18))</f>
        <v>6</v>
      </c>
      <c r="M36" s="37">
        <f t="shared" si="3"/>
        <v>7</v>
      </c>
      <c r="N36" s="37">
        <f>IF(SUMIF(Candidate_Management!$A$2:$A$18,A36,Candidate_Management!$J$2:$J$18)=0,"",SUMIF(Candidate_Management!$A$2:$A$18,A36,Candidate_Management!$J$2:$J$18))</f>
        <v>3</v>
      </c>
      <c r="O36" s="38" t="s">
        <v>67</v>
      </c>
      <c r="P36" s="38"/>
    </row>
    <row r="37" spans="1:16" s="32" customFormat="1">
      <c r="A37" s="33" t="s">
        <v>17</v>
      </c>
      <c r="B37" s="33" t="s">
        <v>11</v>
      </c>
      <c r="C37" s="33">
        <v>2019</v>
      </c>
      <c r="D37" s="34">
        <v>11958</v>
      </c>
      <c r="E37" s="35">
        <v>2.97</v>
      </c>
      <c r="F37" s="35">
        <v>45.1</v>
      </c>
      <c r="G37" s="35">
        <v>1.81</v>
      </c>
      <c r="H37" s="36">
        <f>IF(SUMIF(Candidate_Management!$A$2:$A$18,A37,Candidate_Management!$G$2:$G$18)=0,"",SUMIF(Candidate_Management!$A$2:$A$18,A37,Candidate_Management!$G$2:$G$18))</f>
        <v>205</v>
      </c>
      <c r="I37" s="36">
        <f>IF(H37="","",SUMIF(Farmer_Year_Results!$A$2:$A$6,C37,Farmer_Year_Results!$G$2:$G$6))</f>
        <v>45</v>
      </c>
      <c r="J37" s="36">
        <f t="shared" si="2"/>
        <v>250</v>
      </c>
      <c r="K37" s="36">
        <f>IF(SUMIF(Candidate_Management!$A$2:$A$18,A37,Candidate_Management!$H$2:$H$18)=0,"",SUMIF(Candidate_Management!$A$2:$A$18,A37,Candidate_Management!$H$2:$H$18))</f>
        <v>270</v>
      </c>
      <c r="L37" s="37">
        <f>IF(SUMIF(Candidate_Management!$A$2:$A$18,A37,Candidate_Management!$I$2:$I$18)=0,"",SUMIF(Candidate_Management!$A$2:$A$18,A37,Candidate_Management!$I$2:$I$18))</f>
        <v>4</v>
      </c>
      <c r="M37" s="37">
        <f t="shared" si="3"/>
        <v>5</v>
      </c>
      <c r="N37" s="37">
        <f>IF(SUMIF(Candidate_Management!$A$2:$A$18,A37,Candidate_Management!$J$2:$J$18)=0,"",SUMIF(Candidate_Management!$A$2:$A$18,A37,Candidate_Management!$J$2:$J$18))</f>
        <v>3</v>
      </c>
      <c r="O37" s="38" t="s">
        <v>67</v>
      </c>
      <c r="P37" s="38"/>
    </row>
    <row r="38" spans="1:16" s="32" customFormat="1">
      <c r="A38" s="33" t="s">
        <v>17</v>
      </c>
      <c r="B38" s="33" t="s">
        <v>11</v>
      </c>
      <c r="C38" s="33">
        <v>2020</v>
      </c>
      <c r="D38" s="34">
        <v>11961</v>
      </c>
      <c r="E38" s="35">
        <v>2.86</v>
      </c>
      <c r="F38" s="35">
        <v>44.59</v>
      </c>
      <c r="G38" s="35">
        <v>1.73</v>
      </c>
      <c r="H38" s="36">
        <f>IF(SUMIF(Candidate_Management!$A$2:$A$18,A38,Candidate_Management!$G$2:$G$18)=0,"",SUMIF(Candidate_Management!$A$2:$A$18,A38,Candidate_Management!$G$2:$G$18))</f>
        <v>205</v>
      </c>
      <c r="I38" s="36">
        <f>IF(H38="","",SUMIF(Farmer_Year_Results!$A$2:$A$6,C38,Farmer_Year_Results!$G$2:$G$6))</f>
        <v>52</v>
      </c>
      <c r="J38" s="36">
        <f t="shared" si="2"/>
        <v>257</v>
      </c>
      <c r="K38" s="36">
        <f>IF(SUMIF(Candidate_Management!$A$2:$A$18,A38,Candidate_Management!$H$2:$H$18)=0,"",SUMIF(Candidate_Management!$A$2:$A$18,A38,Candidate_Management!$H$2:$H$18))</f>
        <v>270</v>
      </c>
      <c r="L38" s="37">
        <f>IF(SUMIF(Candidate_Management!$A$2:$A$18,A38,Candidate_Management!$I$2:$I$18)=0,"",SUMIF(Candidate_Management!$A$2:$A$18,A38,Candidate_Management!$I$2:$I$18))</f>
        <v>4</v>
      </c>
      <c r="M38" s="37">
        <f t="shared" si="3"/>
        <v>5</v>
      </c>
      <c r="N38" s="37">
        <f>IF(SUMIF(Candidate_Management!$A$2:$A$18,A38,Candidate_Management!$J$2:$J$18)=0,"",SUMIF(Candidate_Management!$A$2:$A$18,A38,Candidate_Management!$J$2:$J$18))</f>
        <v>3</v>
      </c>
      <c r="O38" s="38" t="s">
        <v>67</v>
      </c>
      <c r="P38" s="38"/>
    </row>
    <row r="39" spans="1:16" s="32" customFormat="1">
      <c r="A39" s="33" t="s">
        <v>17</v>
      </c>
      <c r="B39" s="33" t="s">
        <v>11</v>
      </c>
      <c r="C39" s="33">
        <v>2021</v>
      </c>
      <c r="D39" s="34">
        <v>11972</v>
      </c>
      <c r="E39" s="35">
        <v>2.73</v>
      </c>
      <c r="F39" s="35">
        <v>46.14</v>
      </c>
      <c r="G39" s="35">
        <v>1.65</v>
      </c>
      <c r="H39" s="36">
        <f>IF(SUMIF(Candidate_Management!$A$2:$A$18,A39,Candidate_Management!$G$2:$G$18)=0,"",SUMIF(Candidate_Management!$A$2:$A$18,A39,Candidate_Management!$G$2:$G$18))</f>
        <v>205</v>
      </c>
      <c r="I39" s="36">
        <f>IF(H39="","",SUMIF(Farmer_Year_Results!$A$2:$A$6,C39,Farmer_Year_Results!$G$2:$G$6))</f>
        <v>58</v>
      </c>
      <c r="J39" s="36">
        <f t="shared" si="2"/>
        <v>263</v>
      </c>
      <c r="K39" s="36">
        <f>IF(SUMIF(Candidate_Management!$A$2:$A$18,A39,Candidate_Management!$H$2:$H$18)=0,"",SUMIF(Candidate_Management!$A$2:$A$18,A39,Candidate_Management!$H$2:$H$18))</f>
        <v>270</v>
      </c>
      <c r="L39" s="37">
        <f>IF(SUMIF(Candidate_Management!$A$2:$A$18,A39,Candidate_Management!$I$2:$I$18)=0,"",SUMIF(Candidate_Management!$A$2:$A$18,A39,Candidate_Management!$I$2:$I$18))</f>
        <v>4</v>
      </c>
      <c r="M39" s="37">
        <f t="shared" si="3"/>
        <v>5</v>
      </c>
      <c r="N39" s="37">
        <f>IF(SUMIF(Candidate_Management!$A$2:$A$18,A39,Candidate_Management!$J$2:$J$18)=0,"",SUMIF(Candidate_Management!$A$2:$A$18,A39,Candidate_Management!$J$2:$J$18))</f>
        <v>3</v>
      </c>
      <c r="O39" s="38" t="s">
        <v>67</v>
      </c>
      <c r="P39" s="38"/>
    </row>
    <row r="40" spans="1:16" s="32" customFormat="1">
      <c r="A40" s="33" t="s">
        <v>17</v>
      </c>
      <c r="B40" s="33" t="s">
        <v>11</v>
      </c>
      <c r="C40" s="33">
        <v>2022</v>
      </c>
      <c r="D40" s="34">
        <v>11985</v>
      </c>
      <c r="E40" s="35">
        <v>2.64</v>
      </c>
      <c r="F40" s="35">
        <v>45.12</v>
      </c>
      <c r="G40" s="35">
        <v>1.54</v>
      </c>
      <c r="H40" s="36">
        <f>IF(SUMIF(Candidate_Management!$A$2:$A$18,A40,Candidate_Management!$G$2:$G$18)=0,"",SUMIF(Candidate_Management!$A$2:$A$18,A40,Candidate_Management!$G$2:$G$18))</f>
        <v>205</v>
      </c>
      <c r="I40" s="36">
        <f>IF(H40="","",SUMIF(Farmer_Year_Results!$A$2:$A$6,C40,Farmer_Year_Results!$G$2:$G$6))</f>
        <v>55</v>
      </c>
      <c r="J40" s="36">
        <f t="shared" si="2"/>
        <v>260</v>
      </c>
      <c r="K40" s="36">
        <f>IF(SUMIF(Candidate_Management!$A$2:$A$18,A40,Candidate_Management!$H$2:$H$18)=0,"",SUMIF(Candidate_Management!$A$2:$A$18,A40,Candidate_Management!$H$2:$H$18))</f>
        <v>270</v>
      </c>
      <c r="L40" s="37">
        <f>IF(SUMIF(Candidate_Management!$A$2:$A$18,A40,Candidate_Management!$I$2:$I$18)=0,"",SUMIF(Candidate_Management!$A$2:$A$18,A40,Candidate_Management!$I$2:$I$18))</f>
        <v>4</v>
      </c>
      <c r="M40" s="37">
        <f t="shared" si="3"/>
        <v>5</v>
      </c>
      <c r="N40" s="37">
        <f>IF(SUMIF(Candidate_Management!$A$2:$A$18,A40,Candidate_Management!$J$2:$J$18)=0,"",SUMIF(Candidate_Management!$A$2:$A$18,A40,Candidate_Management!$J$2:$J$18))</f>
        <v>3</v>
      </c>
      <c r="O40" s="38" t="s">
        <v>67</v>
      </c>
      <c r="P40" s="38"/>
    </row>
    <row r="41" spans="1:16" s="32" customFormat="1">
      <c r="A41" s="33" t="s">
        <v>17</v>
      </c>
      <c r="B41" s="33" t="s">
        <v>11</v>
      </c>
      <c r="C41" s="33">
        <v>2023</v>
      </c>
      <c r="D41" s="34">
        <v>12025</v>
      </c>
      <c r="E41" s="35">
        <v>3.12</v>
      </c>
      <c r="F41" s="35">
        <v>44.12</v>
      </c>
      <c r="G41" s="35">
        <v>1.82</v>
      </c>
      <c r="H41" s="36">
        <f>IF(SUMIF(Candidate_Management!$A$2:$A$18,A41,Candidate_Management!$G$2:$G$18)=0,"",SUMIF(Candidate_Management!$A$2:$A$18,A41,Candidate_Management!$G$2:$G$18))</f>
        <v>205</v>
      </c>
      <c r="I41" s="36">
        <f>IF(H41="","",SUMIF(Farmer_Year_Results!$A$2:$A$6,C41,Farmer_Year_Results!$G$2:$G$6))</f>
        <v>65</v>
      </c>
      <c r="J41" s="36">
        <f t="shared" si="2"/>
        <v>270</v>
      </c>
      <c r="K41" s="36">
        <f>IF(SUMIF(Candidate_Management!$A$2:$A$18,A41,Candidate_Management!$H$2:$H$18)=0,"",SUMIF(Candidate_Management!$A$2:$A$18,A41,Candidate_Management!$H$2:$H$18))</f>
        <v>270</v>
      </c>
      <c r="L41" s="37">
        <f>IF(SUMIF(Candidate_Management!$A$2:$A$18,A41,Candidate_Management!$I$2:$I$18)=0,"",SUMIF(Candidate_Management!$A$2:$A$18,A41,Candidate_Management!$I$2:$I$18))</f>
        <v>4</v>
      </c>
      <c r="M41" s="37">
        <f t="shared" si="3"/>
        <v>5</v>
      </c>
      <c r="N41" s="37">
        <f>IF(SUMIF(Candidate_Management!$A$2:$A$18,A41,Candidate_Management!$J$2:$J$18)=0,"",SUMIF(Candidate_Management!$A$2:$A$18,A41,Candidate_Management!$J$2:$J$18))</f>
        <v>3</v>
      </c>
      <c r="O41" s="38" t="s">
        <v>67</v>
      </c>
      <c r="P41" s="38"/>
    </row>
    <row r="42" spans="1:16" s="32" customFormat="1">
      <c r="A42" s="33" t="s">
        <v>18</v>
      </c>
      <c r="B42" s="33" t="s">
        <v>11</v>
      </c>
      <c r="C42" s="33">
        <v>2019</v>
      </c>
      <c r="D42" s="34">
        <v>11955</v>
      </c>
      <c r="E42" s="35">
        <v>3.1</v>
      </c>
      <c r="F42" s="35">
        <v>45.12</v>
      </c>
      <c r="G42" s="35">
        <v>1.78</v>
      </c>
      <c r="H42" s="36">
        <f>IF(SUMIF(Candidate_Management!$A$2:$A$18,A42,Candidate_Management!$G$2:$G$18)=0,"",SUMIF(Candidate_Management!$A$2:$A$18,A42,Candidate_Management!$G$2:$G$18))</f>
        <v>165</v>
      </c>
      <c r="I42" s="36">
        <f>IF(H42="","",SUMIF(Farmer_Year_Results!$A$2:$A$6,C42,Farmer_Year_Results!$G$2:$G$6))</f>
        <v>45</v>
      </c>
      <c r="J42" s="36">
        <f t="shared" si="2"/>
        <v>210</v>
      </c>
      <c r="K42" s="36">
        <f>IF(SUMIF(Candidate_Management!$A$2:$A$18,A42,Candidate_Management!$H$2:$H$18)=0,"",SUMIF(Candidate_Management!$A$2:$A$18,A42,Candidate_Management!$H$2:$H$18))</f>
        <v>330</v>
      </c>
      <c r="L42" s="37">
        <f>IF(SUMIF(Candidate_Management!$A$2:$A$18,A42,Candidate_Management!$I$2:$I$18)=0,"",SUMIF(Candidate_Management!$A$2:$A$18,A42,Candidate_Management!$I$2:$I$18))</f>
        <v>3</v>
      </c>
      <c r="M42" s="37">
        <f t="shared" si="3"/>
        <v>4</v>
      </c>
      <c r="N42" s="37">
        <f>IF(SUMIF(Candidate_Management!$A$2:$A$18,A42,Candidate_Management!$J$2:$J$18)=0,"",SUMIF(Candidate_Management!$A$2:$A$18,A42,Candidate_Management!$J$2:$J$18))</f>
        <v>2</v>
      </c>
      <c r="O42" s="38" t="s">
        <v>67</v>
      </c>
      <c r="P42" s="38"/>
    </row>
    <row r="43" spans="1:16" s="32" customFormat="1">
      <c r="A43" s="33" t="s">
        <v>18</v>
      </c>
      <c r="B43" s="33" t="s">
        <v>11</v>
      </c>
      <c r="C43" s="33">
        <v>2020</v>
      </c>
      <c r="D43" s="34">
        <v>11965</v>
      </c>
      <c r="E43" s="35">
        <v>3.03</v>
      </c>
      <c r="F43" s="35">
        <v>44.59</v>
      </c>
      <c r="G43" s="35">
        <v>1.71</v>
      </c>
      <c r="H43" s="36">
        <f>IF(SUMIF(Candidate_Management!$A$2:$A$18,A43,Candidate_Management!$G$2:$G$18)=0,"",SUMIF(Candidate_Management!$A$2:$A$18,A43,Candidate_Management!$G$2:$G$18))</f>
        <v>165</v>
      </c>
      <c r="I43" s="36">
        <f>IF(H43="","",SUMIF(Farmer_Year_Results!$A$2:$A$6,C43,Farmer_Year_Results!$G$2:$G$6))</f>
        <v>52</v>
      </c>
      <c r="J43" s="36">
        <f t="shared" si="2"/>
        <v>217</v>
      </c>
      <c r="K43" s="36">
        <f>IF(SUMIF(Candidate_Management!$A$2:$A$18,A43,Candidate_Management!$H$2:$H$18)=0,"",SUMIF(Candidate_Management!$A$2:$A$18,A43,Candidate_Management!$H$2:$H$18))</f>
        <v>330</v>
      </c>
      <c r="L43" s="37">
        <f>IF(SUMIF(Candidate_Management!$A$2:$A$18,A43,Candidate_Management!$I$2:$I$18)=0,"",SUMIF(Candidate_Management!$A$2:$A$18,A43,Candidate_Management!$I$2:$I$18))</f>
        <v>3</v>
      </c>
      <c r="M43" s="37">
        <f t="shared" si="3"/>
        <v>4</v>
      </c>
      <c r="N43" s="37">
        <f>IF(SUMIF(Candidate_Management!$A$2:$A$18,A43,Candidate_Management!$J$2:$J$18)=0,"",SUMIF(Candidate_Management!$A$2:$A$18,A43,Candidate_Management!$J$2:$J$18))</f>
        <v>2</v>
      </c>
      <c r="O43" s="38" t="s">
        <v>67</v>
      </c>
      <c r="P43" s="38"/>
    </row>
    <row r="44" spans="1:16" s="32" customFormat="1">
      <c r="A44" s="33" t="s">
        <v>18</v>
      </c>
      <c r="B44" s="33" t="s">
        <v>11</v>
      </c>
      <c r="C44" s="33">
        <v>2021</v>
      </c>
      <c r="D44" s="34">
        <v>11973</v>
      </c>
      <c r="E44" s="35">
        <v>2.84</v>
      </c>
      <c r="F44" s="35">
        <v>46.09</v>
      </c>
      <c r="G44" s="35">
        <v>1.66</v>
      </c>
      <c r="H44" s="36">
        <f>IF(SUMIF(Candidate_Management!$A$2:$A$18,A44,Candidate_Management!$G$2:$G$18)=0,"",SUMIF(Candidate_Management!$A$2:$A$18,A44,Candidate_Management!$G$2:$G$18))</f>
        <v>165</v>
      </c>
      <c r="I44" s="36">
        <f>IF(H44="","",SUMIF(Farmer_Year_Results!$A$2:$A$6,C44,Farmer_Year_Results!$G$2:$G$6))</f>
        <v>58</v>
      </c>
      <c r="J44" s="36">
        <f t="shared" si="2"/>
        <v>223</v>
      </c>
      <c r="K44" s="36">
        <f>IF(SUMIF(Candidate_Management!$A$2:$A$18,A44,Candidate_Management!$H$2:$H$18)=0,"",SUMIF(Candidate_Management!$A$2:$A$18,A44,Candidate_Management!$H$2:$H$18))</f>
        <v>330</v>
      </c>
      <c r="L44" s="37">
        <f>IF(SUMIF(Candidate_Management!$A$2:$A$18,A44,Candidate_Management!$I$2:$I$18)=0,"",SUMIF(Candidate_Management!$A$2:$A$18,A44,Candidate_Management!$I$2:$I$18))</f>
        <v>3</v>
      </c>
      <c r="M44" s="37">
        <f t="shared" si="3"/>
        <v>4</v>
      </c>
      <c r="N44" s="37">
        <f>IF(SUMIF(Candidate_Management!$A$2:$A$18,A44,Candidate_Management!$J$2:$J$18)=0,"",SUMIF(Candidate_Management!$A$2:$A$18,A44,Candidate_Management!$J$2:$J$18))</f>
        <v>2</v>
      </c>
      <c r="O44" s="38" t="s">
        <v>67</v>
      </c>
      <c r="P44" s="38"/>
    </row>
    <row r="45" spans="1:16" s="32" customFormat="1">
      <c r="A45" s="33" t="s">
        <v>18</v>
      </c>
      <c r="B45" s="33" t="s">
        <v>11</v>
      </c>
      <c r="C45" s="33">
        <v>2022</v>
      </c>
      <c r="D45" s="34">
        <v>11982</v>
      </c>
      <c r="E45" s="35">
        <v>2.72</v>
      </c>
      <c r="F45" s="35">
        <v>45.11</v>
      </c>
      <c r="G45" s="35">
        <v>1.54</v>
      </c>
      <c r="H45" s="36">
        <f>IF(SUMIF(Candidate_Management!$A$2:$A$18,A45,Candidate_Management!$G$2:$G$18)=0,"",SUMIF(Candidate_Management!$A$2:$A$18,A45,Candidate_Management!$G$2:$G$18))</f>
        <v>165</v>
      </c>
      <c r="I45" s="36">
        <f>IF(H45="","",SUMIF(Farmer_Year_Results!$A$2:$A$6,C45,Farmer_Year_Results!$G$2:$G$6))</f>
        <v>55</v>
      </c>
      <c r="J45" s="36">
        <f t="shared" si="2"/>
        <v>220</v>
      </c>
      <c r="K45" s="36">
        <f>IF(SUMIF(Candidate_Management!$A$2:$A$18,A45,Candidate_Management!$H$2:$H$18)=0,"",SUMIF(Candidate_Management!$A$2:$A$18,A45,Candidate_Management!$H$2:$H$18))</f>
        <v>330</v>
      </c>
      <c r="L45" s="37">
        <f>IF(SUMIF(Candidate_Management!$A$2:$A$18,A45,Candidate_Management!$I$2:$I$18)=0,"",SUMIF(Candidate_Management!$A$2:$A$18,A45,Candidate_Management!$I$2:$I$18))</f>
        <v>3</v>
      </c>
      <c r="M45" s="37">
        <f t="shared" si="3"/>
        <v>4</v>
      </c>
      <c r="N45" s="37">
        <f>IF(SUMIF(Candidate_Management!$A$2:$A$18,A45,Candidate_Management!$J$2:$J$18)=0,"",SUMIF(Candidate_Management!$A$2:$A$18,A45,Candidate_Management!$J$2:$J$18))</f>
        <v>2</v>
      </c>
      <c r="O45" s="38" t="s">
        <v>67</v>
      </c>
      <c r="P45" s="38"/>
    </row>
    <row r="46" spans="1:16" s="32" customFormat="1">
      <c r="A46" s="33" t="s">
        <v>18</v>
      </c>
      <c r="B46" s="33" t="s">
        <v>11</v>
      </c>
      <c r="C46" s="33">
        <v>2023</v>
      </c>
      <c r="D46" s="34">
        <v>12021</v>
      </c>
      <c r="E46" s="35">
        <v>3.2</v>
      </c>
      <c r="F46" s="35">
        <v>44.12</v>
      </c>
      <c r="G46" s="35">
        <v>1.79</v>
      </c>
      <c r="H46" s="36">
        <f>IF(SUMIF(Candidate_Management!$A$2:$A$18,A46,Candidate_Management!$G$2:$G$18)=0,"",SUMIF(Candidate_Management!$A$2:$A$18,A46,Candidate_Management!$G$2:$G$18))</f>
        <v>165</v>
      </c>
      <c r="I46" s="36">
        <f>IF(H46="","",SUMIF(Farmer_Year_Results!$A$2:$A$6,C46,Farmer_Year_Results!$G$2:$G$6))</f>
        <v>65</v>
      </c>
      <c r="J46" s="36">
        <f t="shared" si="2"/>
        <v>230</v>
      </c>
      <c r="K46" s="36">
        <f>IF(SUMIF(Candidate_Management!$A$2:$A$18,A46,Candidate_Management!$H$2:$H$18)=0,"",SUMIF(Candidate_Management!$A$2:$A$18,A46,Candidate_Management!$H$2:$H$18))</f>
        <v>330</v>
      </c>
      <c r="L46" s="37">
        <f>IF(SUMIF(Candidate_Management!$A$2:$A$18,A46,Candidate_Management!$I$2:$I$18)=0,"",SUMIF(Candidate_Management!$A$2:$A$18,A46,Candidate_Management!$I$2:$I$18))</f>
        <v>3</v>
      </c>
      <c r="M46" s="37">
        <f t="shared" si="3"/>
        <v>4</v>
      </c>
      <c r="N46" s="37">
        <f>IF(SUMIF(Candidate_Management!$A$2:$A$18,A46,Candidate_Management!$J$2:$J$18)=0,"",SUMIF(Candidate_Management!$A$2:$A$18,A46,Candidate_Management!$J$2:$J$18))</f>
        <v>2</v>
      </c>
      <c r="O46" s="38" t="s">
        <v>67</v>
      </c>
      <c r="P46" s="38"/>
    </row>
    <row r="47" spans="1:16" s="32" customFormat="1">
      <c r="A47" s="33" t="s">
        <v>19</v>
      </c>
      <c r="B47" s="33" t="s">
        <v>11</v>
      </c>
      <c r="C47" s="33">
        <v>2019</v>
      </c>
      <c r="D47" s="34">
        <v>11941</v>
      </c>
      <c r="E47" s="35">
        <v>3.07</v>
      </c>
      <c r="F47" s="35">
        <v>45.31</v>
      </c>
      <c r="G47" s="35">
        <v>1.81</v>
      </c>
      <c r="H47" s="36">
        <f>IF(SUMIF(Candidate_Management!$A$2:$A$18,A47,Candidate_Management!$G$2:$G$18)=0,"",SUMIF(Candidate_Management!$A$2:$A$18,A47,Candidate_Management!$G$2:$G$18))</f>
        <v>280</v>
      </c>
      <c r="I47" s="36">
        <f>IF(H47="","",SUMIF(Farmer_Year_Results!$A$2:$A$6,C47,Farmer_Year_Results!$G$2:$G$6))</f>
        <v>45</v>
      </c>
      <c r="J47" s="36">
        <f t="shared" si="2"/>
        <v>325</v>
      </c>
      <c r="K47" s="36">
        <f>IF(SUMIF(Candidate_Management!$A$2:$A$18,A47,Candidate_Management!$H$2:$H$18)=0,"",SUMIF(Candidate_Management!$A$2:$A$18,A47,Candidate_Management!$H$2:$H$18))</f>
        <v>360</v>
      </c>
      <c r="L47" s="37">
        <f>IF(SUMIF(Candidate_Management!$A$2:$A$18,A47,Candidate_Management!$I$2:$I$18)=0,"",SUMIF(Candidate_Management!$A$2:$A$18,A47,Candidate_Management!$I$2:$I$18))</f>
        <v>6</v>
      </c>
      <c r="M47" s="37">
        <f t="shared" si="3"/>
        <v>7</v>
      </c>
      <c r="N47" s="37">
        <f>IF(SUMIF(Candidate_Management!$A$2:$A$18,A47,Candidate_Management!$J$2:$J$18)=0,"",SUMIF(Candidate_Management!$A$2:$A$18,A47,Candidate_Management!$J$2:$J$18))</f>
        <v>3</v>
      </c>
      <c r="O47" s="38" t="s">
        <v>67</v>
      </c>
      <c r="P47" s="38"/>
    </row>
    <row r="48" spans="1:16" s="32" customFormat="1">
      <c r="A48" s="33" t="s">
        <v>19</v>
      </c>
      <c r="B48" s="33" t="s">
        <v>11</v>
      </c>
      <c r="C48" s="33">
        <v>2020</v>
      </c>
      <c r="D48" s="34">
        <v>11948</v>
      </c>
      <c r="E48" s="35">
        <v>2.94</v>
      </c>
      <c r="F48" s="35">
        <v>44.81</v>
      </c>
      <c r="G48" s="35">
        <v>1.72</v>
      </c>
      <c r="H48" s="36">
        <f>IF(SUMIF(Candidate_Management!$A$2:$A$18,A48,Candidate_Management!$G$2:$G$18)=0,"",SUMIF(Candidate_Management!$A$2:$A$18,A48,Candidate_Management!$G$2:$G$18))</f>
        <v>280</v>
      </c>
      <c r="I48" s="36">
        <f>IF(H48="","",SUMIF(Farmer_Year_Results!$A$2:$A$6,C48,Farmer_Year_Results!$G$2:$G$6))</f>
        <v>52</v>
      </c>
      <c r="J48" s="36">
        <f t="shared" si="2"/>
        <v>332</v>
      </c>
      <c r="K48" s="36">
        <f>IF(SUMIF(Candidate_Management!$A$2:$A$18,A48,Candidate_Management!$H$2:$H$18)=0,"",SUMIF(Candidate_Management!$A$2:$A$18,A48,Candidate_Management!$H$2:$H$18))</f>
        <v>360</v>
      </c>
      <c r="L48" s="37">
        <f>IF(SUMIF(Candidate_Management!$A$2:$A$18,A48,Candidate_Management!$I$2:$I$18)=0,"",SUMIF(Candidate_Management!$A$2:$A$18,A48,Candidate_Management!$I$2:$I$18))</f>
        <v>6</v>
      </c>
      <c r="M48" s="37">
        <f t="shared" si="3"/>
        <v>7</v>
      </c>
      <c r="N48" s="37">
        <f>IF(SUMIF(Candidate_Management!$A$2:$A$18,A48,Candidate_Management!$J$2:$J$18)=0,"",SUMIF(Candidate_Management!$A$2:$A$18,A48,Candidate_Management!$J$2:$J$18))</f>
        <v>3</v>
      </c>
      <c r="O48" s="38" t="s">
        <v>67</v>
      </c>
      <c r="P48" s="38"/>
    </row>
    <row r="49" spans="1:16" s="32" customFormat="1">
      <c r="A49" s="33" t="s">
        <v>19</v>
      </c>
      <c r="B49" s="33" t="s">
        <v>11</v>
      </c>
      <c r="C49" s="33">
        <v>2021</v>
      </c>
      <c r="D49" s="34">
        <v>11956</v>
      </c>
      <c r="E49" s="35">
        <v>2.77</v>
      </c>
      <c r="F49" s="35">
        <v>46.29</v>
      </c>
      <c r="G49" s="35">
        <v>1.66</v>
      </c>
      <c r="H49" s="36">
        <f>IF(SUMIF(Candidate_Management!$A$2:$A$18,A49,Candidate_Management!$G$2:$G$18)=0,"",SUMIF(Candidate_Management!$A$2:$A$18,A49,Candidate_Management!$G$2:$G$18))</f>
        <v>280</v>
      </c>
      <c r="I49" s="36">
        <f>IF(H49="","",SUMIF(Farmer_Year_Results!$A$2:$A$6,C49,Farmer_Year_Results!$G$2:$G$6))</f>
        <v>58</v>
      </c>
      <c r="J49" s="36">
        <f t="shared" si="2"/>
        <v>338</v>
      </c>
      <c r="K49" s="36">
        <f>IF(SUMIF(Candidate_Management!$A$2:$A$18,A49,Candidate_Management!$H$2:$H$18)=0,"",SUMIF(Candidate_Management!$A$2:$A$18,A49,Candidate_Management!$H$2:$H$18))</f>
        <v>360</v>
      </c>
      <c r="L49" s="37">
        <f>IF(SUMIF(Candidate_Management!$A$2:$A$18,A49,Candidate_Management!$I$2:$I$18)=0,"",SUMIF(Candidate_Management!$A$2:$A$18,A49,Candidate_Management!$I$2:$I$18))</f>
        <v>6</v>
      </c>
      <c r="M49" s="37">
        <f t="shared" si="3"/>
        <v>7</v>
      </c>
      <c r="N49" s="37">
        <f>IF(SUMIF(Candidate_Management!$A$2:$A$18,A49,Candidate_Management!$J$2:$J$18)=0,"",SUMIF(Candidate_Management!$A$2:$A$18,A49,Candidate_Management!$J$2:$J$18))</f>
        <v>3</v>
      </c>
      <c r="O49" s="38" t="s">
        <v>67</v>
      </c>
      <c r="P49" s="38"/>
    </row>
    <row r="50" spans="1:16" s="32" customFormat="1">
      <c r="A50" s="33" t="s">
        <v>19</v>
      </c>
      <c r="B50" s="33" t="s">
        <v>11</v>
      </c>
      <c r="C50" s="33">
        <v>2022</v>
      </c>
      <c r="D50" s="34">
        <v>11968</v>
      </c>
      <c r="E50" s="35">
        <v>2.68</v>
      </c>
      <c r="F50" s="35">
        <v>45.31</v>
      </c>
      <c r="G50" s="35">
        <v>1.54</v>
      </c>
      <c r="H50" s="36">
        <f>IF(SUMIF(Candidate_Management!$A$2:$A$18,A50,Candidate_Management!$G$2:$G$18)=0,"",SUMIF(Candidate_Management!$A$2:$A$18,A50,Candidate_Management!$G$2:$G$18))</f>
        <v>280</v>
      </c>
      <c r="I50" s="36">
        <f>IF(H50="","",SUMIF(Farmer_Year_Results!$A$2:$A$6,C50,Farmer_Year_Results!$G$2:$G$6))</f>
        <v>55</v>
      </c>
      <c r="J50" s="36">
        <f t="shared" si="2"/>
        <v>335</v>
      </c>
      <c r="K50" s="36">
        <f>IF(SUMIF(Candidate_Management!$A$2:$A$18,A50,Candidate_Management!$H$2:$H$18)=0,"",SUMIF(Candidate_Management!$A$2:$A$18,A50,Candidate_Management!$H$2:$H$18))</f>
        <v>360</v>
      </c>
      <c r="L50" s="37">
        <f>IF(SUMIF(Candidate_Management!$A$2:$A$18,A50,Candidate_Management!$I$2:$I$18)=0,"",SUMIF(Candidate_Management!$A$2:$A$18,A50,Candidate_Management!$I$2:$I$18))</f>
        <v>6</v>
      </c>
      <c r="M50" s="37">
        <f t="shared" si="3"/>
        <v>7</v>
      </c>
      <c r="N50" s="37">
        <f>IF(SUMIF(Candidate_Management!$A$2:$A$18,A50,Candidate_Management!$J$2:$J$18)=0,"",SUMIF(Candidate_Management!$A$2:$A$18,A50,Candidate_Management!$J$2:$J$18))</f>
        <v>3</v>
      </c>
      <c r="O50" s="38" t="s">
        <v>67</v>
      </c>
      <c r="P50" s="38"/>
    </row>
    <row r="51" spans="1:16" s="32" customFormat="1">
      <c r="A51" s="33" t="s">
        <v>19</v>
      </c>
      <c r="B51" s="33" t="s">
        <v>11</v>
      </c>
      <c r="C51" s="33">
        <v>2023</v>
      </c>
      <c r="D51" s="34">
        <v>12011</v>
      </c>
      <c r="E51" s="35">
        <v>3.16</v>
      </c>
      <c r="F51" s="35">
        <v>44.32</v>
      </c>
      <c r="G51" s="35">
        <v>1.81</v>
      </c>
      <c r="H51" s="36">
        <f>IF(SUMIF(Candidate_Management!$A$2:$A$18,A51,Candidate_Management!$G$2:$G$18)=0,"",SUMIF(Candidate_Management!$A$2:$A$18,A51,Candidate_Management!$G$2:$G$18))</f>
        <v>280</v>
      </c>
      <c r="I51" s="36">
        <f>IF(H51="","",SUMIF(Farmer_Year_Results!$A$2:$A$6,C51,Farmer_Year_Results!$G$2:$G$6))</f>
        <v>65</v>
      </c>
      <c r="J51" s="36">
        <f t="shared" si="2"/>
        <v>345</v>
      </c>
      <c r="K51" s="36">
        <f>IF(SUMIF(Candidate_Management!$A$2:$A$18,A51,Candidate_Management!$H$2:$H$18)=0,"",SUMIF(Candidate_Management!$A$2:$A$18,A51,Candidate_Management!$H$2:$H$18))</f>
        <v>360</v>
      </c>
      <c r="L51" s="37">
        <f>IF(SUMIF(Candidate_Management!$A$2:$A$18,A51,Candidate_Management!$I$2:$I$18)=0,"",SUMIF(Candidate_Management!$A$2:$A$18,A51,Candidate_Management!$I$2:$I$18))</f>
        <v>6</v>
      </c>
      <c r="M51" s="37">
        <f t="shared" si="3"/>
        <v>7</v>
      </c>
      <c r="N51" s="37">
        <f>IF(SUMIF(Candidate_Management!$A$2:$A$18,A51,Candidate_Management!$J$2:$J$18)=0,"",SUMIF(Candidate_Management!$A$2:$A$18,A51,Candidate_Management!$J$2:$J$18))</f>
        <v>3</v>
      </c>
      <c r="O51" s="38" t="s">
        <v>67</v>
      </c>
      <c r="P51" s="38"/>
    </row>
    <row r="52" spans="1:16" s="32" customFormat="1">
      <c r="A52" s="33" t="s">
        <v>20</v>
      </c>
      <c r="B52" s="33" t="s">
        <v>11</v>
      </c>
      <c r="C52" s="33">
        <v>2019</v>
      </c>
      <c r="D52" s="34">
        <v>11936</v>
      </c>
      <c r="E52" s="35">
        <v>3.06</v>
      </c>
      <c r="F52" s="35">
        <v>46.12</v>
      </c>
      <c r="G52" s="35">
        <v>1.81</v>
      </c>
      <c r="H52" s="36">
        <f>IF(SUMIF(Candidate_Management!$A$2:$A$18,A52,Candidate_Management!$G$2:$G$18)=0,"",SUMIF(Candidate_Management!$A$2:$A$18,A52,Candidate_Management!$G$2:$G$18))</f>
        <v>425</v>
      </c>
      <c r="I52" s="36">
        <f>IF(H52="","",SUMIF(Farmer_Year_Results!$A$2:$A$6,C52,Farmer_Year_Results!$G$2:$G$6))</f>
        <v>45</v>
      </c>
      <c r="J52" s="36">
        <f t="shared" si="2"/>
        <v>470</v>
      </c>
      <c r="K52" s="36">
        <f>IF(SUMIF(Candidate_Management!$A$2:$A$18,A52,Candidate_Management!$H$2:$H$18)=0,"",SUMIF(Candidate_Management!$A$2:$A$18,A52,Candidate_Management!$H$2:$H$18))</f>
        <v>360</v>
      </c>
      <c r="L52" s="37">
        <f>IF(SUMIF(Candidate_Management!$A$2:$A$18,A52,Candidate_Management!$I$2:$I$18)=0,"",SUMIF(Candidate_Management!$A$2:$A$18,A52,Candidate_Management!$I$2:$I$18))</f>
        <v>9</v>
      </c>
      <c r="M52" s="37">
        <f t="shared" si="3"/>
        <v>10</v>
      </c>
      <c r="N52" s="37">
        <f>IF(SUMIF(Candidate_Management!$A$2:$A$18,A52,Candidate_Management!$J$2:$J$18)=0,"",SUMIF(Candidate_Management!$A$2:$A$18,A52,Candidate_Management!$J$2:$J$18))</f>
        <v>5</v>
      </c>
      <c r="O52" s="38" t="s">
        <v>67</v>
      </c>
      <c r="P52" s="38"/>
    </row>
    <row r="53" spans="1:16" s="32" customFormat="1">
      <c r="A53" s="33" t="s">
        <v>20</v>
      </c>
      <c r="B53" s="33" t="s">
        <v>11</v>
      </c>
      <c r="C53" s="33">
        <v>2020</v>
      </c>
      <c r="D53" s="34">
        <v>11941</v>
      </c>
      <c r="E53" s="35">
        <v>2.94</v>
      </c>
      <c r="F53" s="35">
        <v>45.59</v>
      </c>
      <c r="G53" s="35">
        <v>1.69</v>
      </c>
      <c r="H53" s="36">
        <f>IF(SUMIF(Candidate_Management!$A$2:$A$18,A53,Candidate_Management!$G$2:$G$18)=0,"",SUMIF(Candidate_Management!$A$2:$A$18,A53,Candidate_Management!$G$2:$G$18))</f>
        <v>425</v>
      </c>
      <c r="I53" s="36">
        <f>IF(H53="","",SUMIF(Farmer_Year_Results!$A$2:$A$6,C53,Farmer_Year_Results!$G$2:$G$6))</f>
        <v>52</v>
      </c>
      <c r="J53" s="36">
        <f t="shared" si="2"/>
        <v>477</v>
      </c>
      <c r="K53" s="36">
        <f>IF(SUMIF(Candidate_Management!$A$2:$A$18,A53,Candidate_Management!$H$2:$H$18)=0,"",SUMIF(Candidate_Management!$A$2:$A$18,A53,Candidate_Management!$H$2:$H$18))</f>
        <v>360</v>
      </c>
      <c r="L53" s="37">
        <f>IF(SUMIF(Candidate_Management!$A$2:$A$18,A53,Candidate_Management!$I$2:$I$18)=0,"",SUMIF(Candidate_Management!$A$2:$A$18,A53,Candidate_Management!$I$2:$I$18))</f>
        <v>9</v>
      </c>
      <c r="M53" s="37">
        <f t="shared" si="3"/>
        <v>10</v>
      </c>
      <c r="N53" s="37">
        <f>IF(SUMIF(Candidate_Management!$A$2:$A$18,A53,Candidate_Management!$J$2:$J$18)=0,"",SUMIF(Candidate_Management!$A$2:$A$18,A53,Candidate_Management!$J$2:$J$18))</f>
        <v>5</v>
      </c>
      <c r="O53" s="38" t="s">
        <v>67</v>
      </c>
      <c r="P53" s="38"/>
    </row>
    <row r="54" spans="1:16" s="32" customFormat="1">
      <c r="A54" s="33" t="s">
        <v>20</v>
      </c>
      <c r="B54" s="33" t="s">
        <v>11</v>
      </c>
      <c r="C54" s="33">
        <v>2021</v>
      </c>
      <c r="D54" s="34">
        <v>11956</v>
      </c>
      <c r="E54" s="35">
        <v>2.72</v>
      </c>
      <c r="F54" s="35">
        <v>47.09</v>
      </c>
      <c r="G54" s="35">
        <v>1.66</v>
      </c>
      <c r="H54" s="36">
        <f>IF(SUMIF(Candidate_Management!$A$2:$A$18,A54,Candidate_Management!$G$2:$G$18)=0,"",SUMIF(Candidate_Management!$A$2:$A$18,A54,Candidate_Management!$G$2:$G$18))</f>
        <v>425</v>
      </c>
      <c r="I54" s="36">
        <f>IF(H54="","",SUMIF(Farmer_Year_Results!$A$2:$A$6,C54,Farmer_Year_Results!$G$2:$G$6))</f>
        <v>58</v>
      </c>
      <c r="J54" s="36">
        <f t="shared" si="2"/>
        <v>483</v>
      </c>
      <c r="K54" s="36">
        <f>IF(SUMIF(Candidate_Management!$A$2:$A$18,A54,Candidate_Management!$H$2:$H$18)=0,"",SUMIF(Candidate_Management!$A$2:$A$18,A54,Candidate_Management!$H$2:$H$18))</f>
        <v>360</v>
      </c>
      <c r="L54" s="37">
        <f>IF(SUMIF(Candidate_Management!$A$2:$A$18,A54,Candidate_Management!$I$2:$I$18)=0,"",SUMIF(Candidate_Management!$A$2:$A$18,A54,Candidate_Management!$I$2:$I$18))</f>
        <v>9</v>
      </c>
      <c r="M54" s="37">
        <f t="shared" si="3"/>
        <v>10</v>
      </c>
      <c r="N54" s="37">
        <f>IF(SUMIF(Candidate_Management!$A$2:$A$18,A54,Candidate_Management!$J$2:$J$18)=0,"",SUMIF(Candidate_Management!$A$2:$A$18,A54,Candidate_Management!$J$2:$J$18))</f>
        <v>5</v>
      </c>
      <c r="O54" s="38" t="s">
        <v>67</v>
      </c>
      <c r="P54" s="38"/>
    </row>
    <row r="55" spans="1:16" s="32" customFormat="1">
      <c r="A55" s="33" t="s">
        <v>20</v>
      </c>
      <c r="B55" s="33" t="s">
        <v>11</v>
      </c>
      <c r="C55" s="33">
        <v>2022</v>
      </c>
      <c r="D55" s="34">
        <v>11962</v>
      </c>
      <c r="E55" s="35">
        <v>2.65</v>
      </c>
      <c r="F55" s="35">
        <v>46.11</v>
      </c>
      <c r="G55" s="35">
        <v>1.56</v>
      </c>
      <c r="H55" s="36">
        <f>IF(SUMIF(Candidate_Management!$A$2:$A$18,A55,Candidate_Management!$G$2:$G$18)=0,"",SUMIF(Candidate_Management!$A$2:$A$18,A55,Candidate_Management!$G$2:$G$18))</f>
        <v>425</v>
      </c>
      <c r="I55" s="36">
        <f>IF(H55="","",SUMIF(Farmer_Year_Results!$A$2:$A$6,C55,Farmer_Year_Results!$G$2:$G$6))</f>
        <v>55</v>
      </c>
      <c r="J55" s="36">
        <f t="shared" si="2"/>
        <v>480</v>
      </c>
      <c r="K55" s="36">
        <f>IF(SUMIF(Candidate_Management!$A$2:$A$18,A55,Candidate_Management!$H$2:$H$18)=0,"",SUMIF(Candidate_Management!$A$2:$A$18,A55,Candidate_Management!$H$2:$H$18))</f>
        <v>360</v>
      </c>
      <c r="L55" s="37">
        <f>IF(SUMIF(Candidate_Management!$A$2:$A$18,A55,Candidate_Management!$I$2:$I$18)=0,"",SUMIF(Candidate_Management!$A$2:$A$18,A55,Candidate_Management!$I$2:$I$18))</f>
        <v>9</v>
      </c>
      <c r="M55" s="37">
        <f t="shared" si="3"/>
        <v>10</v>
      </c>
      <c r="N55" s="37">
        <f>IF(SUMIF(Candidate_Management!$A$2:$A$18,A55,Candidate_Management!$J$2:$J$18)=0,"",SUMIF(Candidate_Management!$A$2:$A$18,A55,Candidate_Management!$J$2:$J$18))</f>
        <v>5</v>
      </c>
      <c r="O55" s="38" t="s">
        <v>67</v>
      </c>
      <c r="P55" s="38"/>
    </row>
    <row r="56" spans="1:16" s="32" customFormat="1">
      <c r="A56" s="33" t="s">
        <v>20</v>
      </c>
      <c r="B56" s="33" t="s">
        <v>11</v>
      </c>
      <c r="C56" s="33">
        <v>2023</v>
      </c>
      <c r="D56" s="34">
        <v>12005</v>
      </c>
      <c r="E56" s="35">
        <v>3.16</v>
      </c>
      <c r="F56" s="35">
        <v>45.13</v>
      </c>
      <c r="G56" s="35">
        <v>1.81</v>
      </c>
      <c r="H56" s="36">
        <f>IF(SUMIF(Candidate_Management!$A$2:$A$18,A56,Candidate_Management!$G$2:$G$18)=0,"",SUMIF(Candidate_Management!$A$2:$A$18,A56,Candidate_Management!$G$2:$G$18))</f>
        <v>425</v>
      </c>
      <c r="I56" s="36">
        <f>IF(H56="","",SUMIF(Farmer_Year_Results!$A$2:$A$6,C56,Farmer_Year_Results!$G$2:$G$6))</f>
        <v>65</v>
      </c>
      <c r="J56" s="36">
        <f t="shared" si="2"/>
        <v>490</v>
      </c>
      <c r="K56" s="36">
        <f>IF(SUMIF(Candidate_Management!$A$2:$A$18,A56,Candidate_Management!$H$2:$H$18)=0,"",SUMIF(Candidate_Management!$A$2:$A$18,A56,Candidate_Management!$H$2:$H$18))</f>
        <v>360</v>
      </c>
      <c r="L56" s="37">
        <f>IF(SUMIF(Candidate_Management!$A$2:$A$18,A56,Candidate_Management!$I$2:$I$18)=0,"",SUMIF(Candidate_Management!$A$2:$A$18,A56,Candidate_Management!$I$2:$I$18))</f>
        <v>9</v>
      </c>
      <c r="M56" s="37">
        <f t="shared" si="3"/>
        <v>10</v>
      </c>
      <c r="N56" s="37">
        <f>IF(SUMIF(Candidate_Management!$A$2:$A$18,A56,Candidate_Management!$J$2:$J$18)=0,"",SUMIF(Candidate_Management!$A$2:$A$18,A56,Candidate_Management!$J$2:$J$18))</f>
        <v>5</v>
      </c>
      <c r="O56" s="38" t="s">
        <v>67</v>
      </c>
      <c r="P56" s="38"/>
    </row>
    <row r="57" spans="1:16" s="32" customFormat="1">
      <c r="A57" s="33" t="s">
        <v>21</v>
      </c>
      <c r="B57" s="33" t="s">
        <v>11</v>
      </c>
      <c r="C57" s="33">
        <v>2019</v>
      </c>
      <c r="D57" s="34">
        <v>11932</v>
      </c>
      <c r="E57" s="35">
        <v>3.05</v>
      </c>
      <c r="F57" s="35">
        <v>45.22</v>
      </c>
      <c r="G57" s="35">
        <v>1.8</v>
      </c>
      <c r="H57" s="36">
        <f>IF(SUMIF(Candidate_Management!$A$2:$A$18,A57,Candidate_Management!$G$2:$G$18)=0,"",SUMIF(Candidate_Management!$A$2:$A$18,A57,Candidate_Management!$G$2:$G$18))</f>
        <v>270</v>
      </c>
      <c r="I57" s="36">
        <f>IF(H57="","",SUMIF(Farmer_Year_Results!$A$2:$A$6,C57,Farmer_Year_Results!$G$2:$G$6))</f>
        <v>45</v>
      </c>
      <c r="J57" s="36">
        <f t="shared" si="2"/>
        <v>315</v>
      </c>
      <c r="K57" s="36">
        <f>IF(SUMIF(Candidate_Management!$A$2:$A$18,A57,Candidate_Management!$H$2:$H$18)=0,"",SUMIF(Candidate_Management!$A$2:$A$18,A57,Candidate_Management!$H$2:$H$18))</f>
        <v>360</v>
      </c>
      <c r="L57" s="37">
        <f>IF(SUMIF(Candidate_Management!$A$2:$A$18,A57,Candidate_Management!$I$2:$I$18)=0,"",SUMIF(Candidate_Management!$A$2:$A$18,A57,Candidate_Management!$I$2:$I$18))</f>
        <v>6</v>
      </c>
      <c r="M57" s="37">
        <f t="shared" si="3"/>
        <v>7</v>
      </c>
      <c r="N57" s="37">
        <f>IF(SUMIF(Candidate_Management!$A$2:$A$18,A57,Candidate_Management!$J$2:$J$18)=0,"",SUMIF(Candidate_Management!$A$2:$A$18,A57,Candidate_Management!$J$2:$J$18))</f>
        <v>3</v>
      </c>
      <c r="O57" s="38" t="s">
        <v>67</v>
      </c>
      <c r="P57" s="38"/>
    </row>
    <row r="58" spans="1:16" s="32" customFormat="1">
      <c r="A58" s="33" t="s">
        <v>21</v>
      </c>
      <c r="B58" s="33" t="s">
        <v>11</v>
      </c>
      <c r="C58" s="33">
        <v>2020</v>
      </c>
      <c r="D58" s="34">
        <v>11937</v>
      </c>
      <c r="E58" s="35">
        <v>2.97</v>
      </c>
      <c r="F58" s="35">
        <v>44.69</v>
      </c>
      <c r="G58" s="35">
        <v>1.71</v>
      </c>
      <c r="H58" s="36">
        <f>IF(SUMIF(Candidate_Management!$A$2:$A$18,A58,Candidate_Management!$G$2:$G$18)=0,"",SUMIF(Candidate_Management!$A$2:$A$18,A58,Candidate_Management!$G$2:$G$18))</f>
        <v>270</v>
      </c>
      <c r="I58" s="36">
        <f>IF(H58="","",SUMIF(Farmer_Year_Results!$A$2:$A$6,C58,Farmer_Year_Results!$G$2:$G$6))</f>
        <v>52</v>
      </c>
      <c r="J58" s="36">
        <f t="shared" si="2"/>
        <v>322</v>
      </c>
      <c r="K58" s="36">
        <f>IF(SUMIF(Candidate_Management!$A$2:$A$18,A58,Candidate_Management!$H$2:$H$18)=0,"",SUMIF(Candidate_Management!$A$2:$A$18,A58,Candidate_Management!$H$2:$H$18))</f>
        <v>360</v>
      </c>
      <c r="L58" s="37">
        <f>IF(SUMIF(Candidate_Management!$A$2:$A$18,A58,Candidate_Management!$I$2:$I$18)=0,"",SUMIF(Candidate_Management!$A$2:$A$18,A58,Candidate_Management!$I$2:$I$18))</f>
        <v>6</v>
      </c>
      <c r="M58" s="37">
        <f t="shared" si="3"/>
        <v>7</v>
      </c>
      <c r="N58" s="37">
        <f>IF(SUMIF(Candidate_Management!$A$2:$A$18,A58,Candidate_Management!$J$2:$J$18)=0,"",SUMIF(Candidate_Management!$A$2:$A$18,A58,Candidate_Management!$J$2:$J$18))</f>
        <v>3</v>
      </c>
      <c r="O58" s="38" t="s">
        <v>67</v>
      </c>
      <c r="P58" s="38"/>
    </row>
    <row r="59" spans="1:16" s="32" customFormat="1">
      <c r="A59" s="33" t="s">
        <v>21</v>
      </c>
      <c r="B59" s="33" t="s">
        <v>11</v>
      </c>
      <c r="C59" s="33">
        <v>2021</v>
      </c>
      <c r="D59" s="34">
        <v>11946</v>
      </c>
      <c r="E59" s="35">
        <v>2.78</v>
      </c>
      <c r="F59" s="35">
        <v>46.18</v>
      </c>
      <c r="G59" s="35">
        <v>1.66</v>
      </c>
      <c r="H59" s="36">
        <f>IF(SUMIF(Candidate_Management!$A$2:$A$18,A59,Candidate_Management!$G$2:$G$18)=0,"",SUMIF(Candidate_Management!$A$2:$A$18,A59,Candidate_Management!$G$2:$G$18))</f>
        <v>270</v>
      </c>
      <c r="I59" s="36">
        <f>IF(H59="","",SUMIF(Farmer_Year_Results!$A$2:$A$6,C59,Farmer_Year_Results!$G$2:$G$6))</f>
        <v>58</v>
      </c>
      <c r="J59" s="36">
        <f t="shared" si="2"/>
        <v>328</v>
      </c>
      <c r="K59" s="36">
        <f>IF(SUMIF(Candidate_Management!$A$2:$A$18,A59,Candidate_Management!$H$2:$H$18)=0,"",SUMIF(Candidate_Management!$A$2:$A$18,A59,Candidate_Management!$H$2:$H$18))</f>
        <v>360</v>
      </c>
      <c r="L59" s="37">
        <f>IF(SUMIF(Candidate_Management!$A$2:$A$18,A59,Candidate_Management!$I$2:$I$18)=0,"",SUMIF(Candidate_Management!$A$2:$A$18,A59,Candidate_Management!$I$2:$I$18))</f>
        <v>6</v>
      </c>
      <c r="M59" s="37">
        <f t="shared" si="3"/>
        <v>7</v>
      </c>
      <c r="N59" s="37">
        <f>IF(SUMIF(Candidate_Management!$A$2:$A$18,A59,Candidate_Management!$J$2:$J$18)=0,"",SUMIF(Candidate_Management!$A$2:$A$18,A59,Candidate_Management!$J$2:$J$18))</f>
        <v>3</v>
      </c>
      <c r="O59" s="38" t="s">
        <v>67</v>
      </c>
      <c r="P59" s="38"/>
    </row>
    <row r="60" spans="1:16" s="32" customFormat="1">
      <c r="A60" s="33" t="s">
        <v>21</v>
      </c>
      <c r="B60" s="33" t="s">
        <v>11</v>
      </c>
      <c r="C60" s="33">
        <v>2022</v>
      </c>
      <c r="D60" s="34">
        <v>11958</v>
      </c>
      <c r="E60" s="35">
        <v>2.66</v>
      </c>
      <c r="F60" s="35">
        <v>45.21</v>
      </c>
      <c r="G60" s="35">
        <v>1.57</v>
      </c>
      <c r="H60" s="36">
        <f>IF(SUMIF(Candidate_Management!$A$2:$A$18,A60,Candidate_Management!$G$2:$G$18)=0,"",SUMIF(Candidate_Management!$A$2:$A$18,A60,Candidate_Management!$G$2:$G$18))</f>
        <v>270</v>
      </c>
      <c r="I60" s="36">
        <f>IF(H60="","",SUMIF(Farmer_Year_Results!$A$2:$A$6,C60,Farmer_Year_Results!$G$2:$G$6))</f>
        <v>55</v>
      </c>
      <c r="J60" s="36">
        <f t="shared" si="2"/>
        <v>325</v>
      </c>
      <c r="K60" s="36">
        <f>IF(SUMIF(Candidate_Management!$A$2:$A$18,A60,Candidate_Management!$H$2:$H$18)=0,"",SUMIF(Candidate_Management!$A$2:$A$18,A60,Candidate_Management!$H$2:$H$18))</f>
        <v>360</v>
      </c>
      <c r="L60" s="37">
        <f>IF(SUMIF(Candidate_Management!$A$2:$A$18,A60,Candidate_Management!$I$2:$I$18)=0,"",SUMIF(Candidate_Management!$A$2:$A$18,A60,Candidate_Management!$I$2:$I$18))</f>
        <v>6</v>
      </c>
      <c r="M60" s="37">
        <f t="shared" si="3"/>
        <v>7</v>
      </c>
      <c r="N60" s="37">
        <f>IF(SUMIF(Candidate_Management!$A$2:$A$18,A60,Candidate_Management!$J$2:$J$18)=0,"",SUMIF(Candidate_Management!$A$2:$A$18,A60,Candidate_Management!$J$2:$J$18))</f>
        <v>3</v>
      </c>
      <c r="O60" s="38" t="s">
        <v>67</v>
      </c>
      <c r="P60" s="38"/>
    </row>
    <row r="61" spans="1:16" s="32" customFormat="1">
      <c r="A61" s="33" t="s">
        <v>21</v>
      </c>
      <c r="B61" s="33" t="s">
        <v>11</v>
      </c>
      <c r="C61" s="33">
        <v>2023</v>
      </c>
      <c r="D61" s="34">
        <v>12004</v>
      </c>
      <c r="E61" s="35">
        <v>3.19</v>
      </c>
      <c r="F61" s="35">
        <v>44.23</v>
      </c>
      <c r="G61" s="35">
        <v>1.81</v>
      </c>
      <c r="H61" s="36">
        <f>IF(SUMIF(Candidate_Management!$A$2:$A$18,A61,Candidate_Management!$G$2:$G$18)=0,"",SUMIF(Candidate_Management!$A$2:$A$18,A61,Candidate_Management!$G$2:$G$18))</f>
        <v>270</v>
      </c>
      <c r="I61" s="36">
        <f>IF(H61="","",SUMIF(Farmer_Year_Results!$A$2:$A$6,C61,Farmer_Year_Results!$G$2:$G$6))</f>
        <v>65</v>
      </c>
      <c r="J61" s="36">
        <f t="shared" si="2"/>
        <v>335</v>
      </c>
      <c r="K61" s="36">
        <f>IF(SUMIF(Candidate_Management!$A$2:$A$18,A61,Candidate_Management!$H$2:$H$18)=0,"",SUMIF(Candidate_Management!$A$2:$A$18,A61,Candidate_Management!$H$2:$H$18))</f>
        <v>360</v>
      </c>
      <c r="L61" s="37">
        <f>IF(SUMIF(Candidate_Management!$A$2:$A$18,A61,Candidate_Management!$I$2:$I$18)=0,"",SUMIF(Candidate_Management!$A$2:$A$18,A61,Candidate_Management!$I$2:$I$18))</f>
        <v>6</v>
      </c>
      <c r="M61" s="37">
        <f t="shared" si="3"/>
        <v>7</v>
      </c>
      <c r="N61" s="37">
        <f>IF(SUMIF(Candidate_Management!$A$2:$A$18,A61,Candidate_Management!$J$2:$J$18)=0,"",SUMIF(Candidate_Management!$A$2:$A$18,A61,Candidate_Management!$J$2:$J$18))</f>
        <v>3</v>
      </c>
      <c r="O61" s="38" t="s">
        <v>67</v>
      </c>
      <c r="P61" s="38"/>
    </row>
    <row r="62" spans="1:16" s="32" customFormat="1">
      <c r="A62" s="33" t="s">
        <v>22</v>
      </c>
      <c r="B62" s="33" t="s">
        <v>11</v>
      </c>
      <c r="C62" s="33">
        <v>2019</v>
      </c>
      <c r="D62" s="34">
        <v>11920</v>
      </c>
      <c r="E62" s="35">
        <v>3.15</v>
      </c>
      <c r="F62" s="35">
        <v>45.22</v>
      </c>
      <c r="G62" s="35">
        <v>1.81</v>
      </c>
      <c r="H62" s="36">
        <f>IF(SUMIF(Candidate_Management!$A$2:$A$18,A62,Candidate_Management!$G$2:$G$18)=0,"",SUMIF(Candidate_Management!$A$2:$A$18,A62,Candidate_Management!$G$2:$G$18))</f>
        <v>160</v>
      </c>
      <c r="I62" s="36">
        <f>IF(H62="","",SUMIF(Farmer_Year_Results!$A$2:$A$6,C62,Farmer_Year_Results!$G$2:$G$6))</f>
        <v>45</v>
      </c>
      <c r="J62" s="36">
        <f t="shared" si="2"/>
        <v>205</v>
      </c>
      <c r="K62" s="36">
        <f>IF(SUMIF(Candidate_Management!$A$2:$A$18,A62,Candidate_Management!$H$2:$H$18)=0,"",SUMIF(Candidate_Management!$A$2:$A$18,A62,Candidate_Management!$H$2:$H$18))</f>
        <v>330</v>
      </c>
      <c r="L62" s="37">
        <f>IF(SUMIF(Candidate_Management!$A$2:$A$18,A62,Candidate_Management!$I$2:$I$18)=0,"",SUMIF(Candidate_Management!$A$2:$A$18,A62,Candidate_Management!$I$2:$I$18))</f>
        <v>3</v>
      </c>
      <c r="M62" s="37">
        <f t="shared" si="3"/>
        <v>4</v>
      </c>
      <c r="N62" s="37">
        <f>IF(SUMIF(Candidate_Management!$A$2:$A$18,A62,Candidate_Management!$J$2:$J$18)=0,"",SUMIF(Candidate_Management!$A$2:$A$18,A62,Candidate_Management!$J$2:$J$18))</f>
        <v>1</v>
      </c>
      <c r="O62" s="38" t="s">
        <v>67</v>
      </c>
      <c r="P62" s="38"/>
    </row>
    <row r="63" spans="1:16" s="32" customFormat="1">
      <c r="A63" s="33" t="s">
        <v>22</v>
      </c>
      <c r="B63" s="33" t="s">
        <v>11</v>
      </c>
      <c r="C63" s="33">
        <v>2020</v>
      </c>
      <c r="D63" s="34">
        <v>11926</v>
      </c>
      <c r="E63" s="35">
        <v>3.04</v>
      </c>
      <c r="F63" s="35">
        <v>44.75</v>
      </c>
      <c r="G63" s="35">
        <v>1.72</v>
      </c>
      <c r="H63" s="36">
        <f>IF(SUMIF(Candidate_Management!$A$2:$A$18,A63,Candidate_Management!$G$2:$G$18)=0,"",SUMIF(Candidate_Management!$A$2:$A$18,A63,Candidate_Management!$G$2:$G$18))</f>
        <v>160</v>
      </c>
      <c r="I63" s="36">
        <f>IF(H63="","",SUMIF(Farmer_Year_Results!$A$2:$A$6,C63,Farmer_Year_Results!$G$2:$G$6))</f>
        <v>52</v>
      </c>
      <c r="J63" s="36">
        <f t="shared" si="2"/>
        <v>212</v>
      </c>
      <c r="K63" s="36">
        <f>IF(SUMIF(Candidate_Management!$A$2:$A$18,A63,Candidate_Management!$H$2:$H$18)=0,"",SUMIF(Candidate_Management!$A$2:$A$18,A63,Candidate_Management!$H$2:$H$18))</f>
        <v>330</v>
      </c>
      <c r="L63" s="37">
        <f>IF(SUMIF(Candidate_Management!$A$2:$A$18,A63,Candidate_Management!$I$2:$I$18)=0,"",SUMIF(Candidate_Management!$A$2:$A$18,A63,Candidate_Management!$I$2:$I$18))</f>
        <v>3</v>
      </c>
      <c r="M63" s="37">
        <f t="shared" si="3"/>
        <v>4</v>
      </c>
      <c r="N63" s="37">
        <f>IF(SUMIF(Candidate_Management!$A$2:$A$18,A63,Candidate_Management!$J$2:$J$18)=0,"",SUMIF(Candidate_Management!$A$2:$A$18,A63,Candidate_Management!$J$2:$J$18))</f>
        <v>1</v>
      </c>
      <c r="O63" s="38" t="s">
        <v>67</v>
      </c>
      <c r="P63" s="38"/>
    </row>
    <row r="64" spans="1:16" s="32" customFormat="1">
      <c r="A64" s="33" t="s">
        <v>22</v>
      </c>
      <c r="B64" s="33" t="s">
        <v>11</v>
      </c>
      <c r="C64" s="33">
        <v>2021</v>
      </c>
      <c r="D64" s="34">
        <v>11935</v>
      </c>
      <c r="E64" s="35">
        <v>2.86</v>
      </c>
      <c r="F64" s="35">
        <v>46.19</v>
      </c>
      <c r="G64" s="35">
        <v>1.66</v>
      </c>
      <c r="H64" s="36">
        <f>IF(SUMIF(Candidate_Management!$A$2:$A$18,A64,Candidate_Management!$G$2:$G$18)=0,"",SUMIF(Candidate_Management!$A$2:$A$18,A64,Candidate_Management!$G$2:$G$18))</f>
        <v>160</v>
      </c>
      <c r="I64" s="36">
        <f>IF(H64="","",SUMIF(Farmer_Year_Results!$A$2:$A$6,C64,Farmer_Year_Results!$G$2:$G$6))</f>
        <v>58</v>
      </c>
      <c r="J64" s="36">
        <f t="shared" si="2"/>
        <v>218</v>
      </c>
      <c r="K64" s="36">
        <f>IF(SUMIF(Candidate_Management!$A$2:$A$18,A64,Candidate_Management!$H$2:$H$18)=0,"",SUMIF(Candidate_Management!$A$2:$A$18,A64,Candidate_Management!$H$2:$H$18))</f>
        <v>330</v>
      </c>
      <c r="L64" s="37">
        <f>IF(SUMIF(Candidate_Management!$A$2:$A$18,A64,Candidate_Management!$I$2:$I$18)=0,"",SUMIF(Candidate_Management!$A$2:$A$18,A64,Candidate_Management!$I$2:$I$18))</f>
        <v>3</v>
      </c>
      <c r="M64" s="37">
        <f t="shared" si="3"/>
        <v>4</v>
      </c>
      <c r="N64" s="37">
        <f>IF(SUMIF(Candidate_Management!$A$2:$A$18,A64,Candidate_Management!$J$2:$J$18)=0,"",SUMIF(Candidate_Management!$A$2:$A$18,A64,Candidate_Management!$J$2:$J$18))</f>
        <v>1</v>
      </c>
      <c r="O64" s="38" t="s">
        <v>67</v>
      </c>
      <c r="P64" s="38"/>
    </row>
    <row r="65" spans="1:16" s="32" customFormat="1">
      <c r="A65" s="33" t="s">
        <v>22</v>
      </c>
      <c r="B65" s="33" t="s">
        <v>11</v>
      </c>
      <c r="C65" s="33">
        <v>2022</v>
      </c>
      <c r="D65" s="34">
        <v>11946</v>
      </c>
      <c r="E65" s="35">
        <v>2.71</v>
      </c>
      <c r="F65" s="35">
        <v>45.21</v>
      </c>
      <c r="G65" s="35">
        <v>1.54</v>
      </c>
      <c r="H65" s="36">
        <f>IF(SUMIF(Candidate_Management!$A$2:$A$18,A65,Candidate_Management!$G$2:$G$18)=0,"",SUMIF(Candidate_Management!$A$2:$A$18,A65,Candidate_Management!$G$2:$G$18))</f>
        <v>160</v>
      </c>
      <c r="I65" s="36">
        <f>IF(H65="","",SUMIF(Farmer_Year_Results!$A$2:$A$6,C65,Farmer_Year_Results!$G$2:$G$6))</f>
        <v>55</v>
      </c>
      <c r="J65" s="36">
        <f t="shared" si="2"/>
        <v>215</v>
      </c>
      <c r="K65" s="36">
        <f>IF(SUMIF(Candidate_Management!$A$2:$A$18,A65,Candidate_Management!$H$2:$H$18)=0,"",SUMIF(Candidate_Management!$A$2:$A$18,A65,Candidate_Management!$H$2:$H$18))</f>
        <v>330</v>
      </c>
      <c r="L65" s="37">
        <f>IF(SUMIF(Candidate_Management!$A$2:$A$18,A65,Candidate_Management!$I$2:$I$18)=0,"",SUMIF(Candidate_Management!$A$2:$A$18,A65,Candidate_Management!$I$2:$I$18))</f>
        <v>3</v>
      </c>
      <c r="M65" s="37">
        <f t="shared" si="3"/>
        <v>4</v>
      </c>
      <c r="N65" s="37">
        <f>IF(SUMIF(Candidate_Management!$A$2:$A$18,A65,Candidate_Management!$J$2:$J$18)=0,"",SUMIF(Candidate_Management!$A$2:$A$18,A65,Candidate_Management!$J$2:$J$18))</f>
        <v>1</v>
      </c>
      <c r="O65" s="38" t="s">
        <v>67</v>
      </c>
      <c r="P65" s="38"/>
    </row>
    <row r="66" spans="1:16" s="32" customFormat="1">
      <c r="A66" s="33" t="s">
        <v>22</v>
      </c>
      <c r="B66" s="33" t="s">
        <v>11</v>
      </c>
      <c r="C66" s="33">
        <v>2023</v>
      </c>
      <c r="D66" s="34">
        <v>11996</v>
      </c>
      <c r="E66" s="35">
        <v>3.26</v>
      </c>
      <c r="F66" s="35">
        <v>44.22</v>
      </c>
      <c r="G66" s="35">
        <v>1.81</v>
      </c>
      <c r="H66" s="36">
        <f>IF(SUMIF(Candidate_Management!$A$2:$A$18,A66,Candidate_Management!$G$2:$G$18)=0,"",SUMIF(Candidate_Management!$A$2:$A$18,A66,Candidate_Management!$G$2:$G$18))</f>
        <v>160</v>
      </c>
      <c r="I66" s="36">
        <f>IF(H66="","",SUMIF(Farmer_Year_Results!$A$2:$A$6,C66,Farmer_Year_Results!$G$2:$G$6))</f>
        <v>65</v>
      </c>
      <c r="J66" s="36">
        <f t="shared" ref="J66:J86" si="4">IF(H66="","",H66+I66)</f>
        <v>225</v>
      </c>
      <c r="K66" s="36">
        <f>IF(SUMIF(Candidate_Management!$A$2:$A$18,A66,Candidate_Management!$H$2:$H$18)=0,"",SUMIF(Candidate_Management!$A$2:$A$18,A66,Candidate_Management!$H$2:$H$18))</f>
        <v>330</v>
      </c>
      <c r="L66" s="37">
        <f>IF(SUMIF(Candidate_Management!$A$2:$A$18,A66,Candidate_Management!$I$2:$I$18)=0,"",SUMIF(Candidate_Management!$A$2:$A$18,A66,Candidate_Management!$I$2:$I$18))</f>
        <v>3</v>
      </c>
      <c r="M66" s="37">
        <f t="shared" ref="M66:M86" si="5">IF(L66="","",L66+1)</f>
        <v>4</v>
      </c>
      <c r="N66" s="37">
        <f>IF(SUMIF(Candidate_Management!$A$2:$A$18,A66,Candidate_Management!$J$2:$J$18)=0,"",SUMIF(Candidate_Management!$A$2:$A$18,A66,Candidate_Management!$J$2:$J$18))</f>
        <v>1</v>
      </c>
      <c r="O66" s="38" t="s">
        <v>67</v>
      </c>
      <c r="P66" s="38"/>
    </row>
    <row r="67" spans="1:16" s="32" customFormat="1">
      <c r="A67" s="33" t="s">
        <v>23</v>
      </c>
      <c r="B67" s="33" t="s">
        <v>11</v>
      </c>
      <c r="C67" s="33">
        <v>2019</v>
      </c>
      <c r="D67" s="34">
        <v>11919</v>
      </c>
      <c r="E67" s="35">
        <v>3.15</v>
      </c>
      <c r="F67" s="35">
        <v>45.22</v>
      </c>
      <c r="G67" s="35">
        <v>1.81</v>
      </c>
      <c r="H67" s="36">
        <f>IF(SUMIF(Candidate_Management!$A$2:$A$18,A67,Candidate_Management!$G$2:$G$18)=0,"",SUMIF(Candidate_Management!$A$2:$A$18,A67,Candidate_Management!$G$2:$G$18))</f>
        <v>155</v>
      </c>
      <c r="I67" s="36">
        <f>IF(H67="","",SUMIF(Farmer_Year_Results!$A$2:$A$6,C67,Farmer_Year_Results!$G$2:$G$6))</f>
        <v>45</v>
      </c>
      <c r="J67" s="36">
        <f t="shared" si="4"/>
        <v>200</v>
      </c>
      <c r="K67" s="36">
        <f>IF(SUMIF(Candidate_Management!$A$2:$A$18,A67,Candidate_Management!$H$2:$H$18)=0,"",SUMIF(Candidate_Management!$A$2:$A$18,A67,Candidate_Management!$H$2:$H$18))</f>
        <v>330</v>
      </c>
      <c r="L67" s="37">
        <f>IF(SUMIF(Candidate_Management!$A$2:$A$18,A67,Candidate_Management!$I$2:$I$18)=0,"",SUMIF(Candidate_Management!$A$2:$A$18,A67,Candidate_Management!$I$2:$I$18))</f>
        <v>3</v>
      </c>
      <c r="M67" s="37">
        <f t="shared" si="5"/>
        <v>4</v>
      </c>
      <c r="N67" s="37">
        <f>IF(SUMIF(Candidate_Management!$A$2:$A$18,A67,Candidate_Management!$J$2:$J$18)=0,"",SUMIF(Candidate_Management!$A$2:$A$18,A67,Candidate_Management!$J$2:$J$18))</f>
        <v>1</v>
      </c>
      <c r="O67" s="38" t="s">
        <v>67</v>
      </c>
      <c r="P67" s="38"/>
    </row>
    <row r="68" spans="1:16" s="32" customFormat="1">
      <c r="A68" s="33" t="s">
        <v>23</v>
      </c>
      <c r="B68" s="33" t="s">
        <v>11</v>
      </c>
      <c r="C68" s="33">
        <v>2020</v>
      </c>
      <c r="D68" s="34">
        <v>11926</v>
      </c>
      <c r="E68" s="35">
        <v>3.05</v>
      </c>
      <c r="F68" s="35">
        <v>44.68</v>
      </c>
      <c r="G68" s="35">
        <v>1.72</v>
      </c>
      <c r="H68" s="36">
        <f>IF(SUMIF(Candidate_Management!$A$2:$A$18,A68,Candidate_Management!$G$2:$G$18)=0,"",SUMIF(Candidate_Management!$A$2:$A$18,A68,Candidate_Management!$G$2:$G$18))</f>
        <v>155</v>
      </c>
      <c r="I68" s="36">
        <f>IF(H68="","",SUMIF(Farmer_Year_Results!$A$2:$A$6,C68,Farmer_Year_Results!$G$2:$G$6))</f>
        <v>52</v>
      </c>
      <c r="J68" s="36">
        <f t="shared" si="4"/>
        <v>207</v>
      </c>
      <c r="K68" s="36">
        <f>IF(SUMIF(Candidate_Management!$A$2:$A$18,A68,Candidate_Management!$H$2:$H$18)=0,"",SUMIF(Candidate_Management!$A$2:$A$18,A68,Candidate_Management!$H$2:$H$18))</f>
        <v>330</v>
      </c>
      <c r="L68" s="37">
        <f>IF(SUMIF(Candidate_Management!$A$2:$A$18,A68,Candidate_Management!$I$2:$I$18)=0,"",SUMIF(Candidate_Management!$A$2:$A$18,A68,Candidate_Management!$I$2:$I$18))</f>
        <v>3</v>
      </c>
      <c r="M68" s="37">
        <f t="shared" si="5"/>
        <v>4</v>
      </c>
      <c r="N68" s="37">
        <f>IF(SUMIF(Candidate_Management!$A$2:$A$18,A68,Candidate_Management!$J$2:$J$18)=0,"",SUMIF(Candidate_Management!$A$2:$A$18,A68,Candidate_Management!$J$2:$J$18))</f>
        <v>1</v>
      </c>
      <c r="O68" s="38" t="s">
        <v>67</v>
      </c>
      <c r="P68" s="38"/>
    </row>
    <row r="69" spans="1:16" s="32" customFormat="1">
      <c r="A69" s="33" t="s">
        <v>23</v>
      </c>
      <c r="B69" s="33" t="s">
        <v>11</v>
      </c>
      <c r="C69" s="33">
        <v>2021</v>
      </c>
      <c r="D69" s="34">
        <v>11932</v>
      </c>
      <c r="E69" s="35">
        <v>2.81</v>
      </c>
      <c r="F69" s="35">
        <v>46.19</v>
      </c>
      <c r="G69" s="35">
        <v>1.64</v>
      </c>
      <c r="H69" s="36">
        <f>IF(SUMIF(Candidate_Management!$A$2:$A$18,A69,Candidate_Management!$G$2:$G$18)=0,"",SUMIF(Candidate_Management!$A$2:$A$18,A69,Candidate_Management!$G$2:$G$18))</f>
        <v>155</v>
      </c>
      <c r="I69" s="36">
        <f>IF(H69="","",SUMIF(Farmer_Year_Results!$A$2:$A$6,C69,Farmer_Year_Results!$G$2:$G$6))</f>
        <v>58</v>
      </c>
      <c r="J69" s="36">
        <f t="shared" si="4"/>
        <v>213</v>
      </c>
      <c r="K69" s="36">
        <f>IF(SUMIF(Candidate_Management!$A$2:$A$18,A69,Candidate_Management!$H$2:$H$18)=0,"",SUMIF(Candidate_Management!$A$2:$A$18,A69,Candidate_Management!$H$2:$H$18))</f>
        <v>330</v>
      </c>
      <c r="L69" s="37">
        <f>IF(SUMIF(Candidate_Management!$A$2:$A$18,A69,Candidate_Management!$I$2:$I$18)=0,"",SUMIF(Candidate_Management!$A$2:$A$18,A69,Candidate_Management!$I$2:$I$18))</f>
        <v>3</v>
      </c>
      <c r="M69" s="37">
        <f t="shared" si="5"/>
        <v>4</v>
      </c>
      <c r="N69" s="37">
        <f>IF(SUMIF(Candidate_Management!$A$2:$A$18,A69,Candidate_Management!$J$2:$J$18)=0,"",SUMIF(Candidate_Management!$A$2:$A$18,A69,Candidate_Management!$J$2:$J$18))</f>
        <v>1</v>
      </c>
      <c r="O69" s="38" t="s">
        <v>67</v>
      </c>
      <c r="P69" s="38"/>
    </row>
    <row r="70" spans="1:16" s="32" customFormat="1">
      <c r="A70" s="33" t="s">
        <v>23</v>
      </c>
      <c r="B70" s="33" t="s">
        <v>11</v>
      </c>
      <c r="C70" s="33">
        <v>2022</v>
      </c>
      <c r="D70" s="34">
        <v>11945</v>
      </c>
      <c r="E70" s="35">
        <v>2.74</v>
      </c>
      <c r="F70" s="35">
        <v>45.21</v>
      </c>
      <c r="G70" s="35">
        <v>1.58</v>
      </c>
      <c r="H70" s="36">
        <f>IF(SUMIF(Candidate_Management!$A$2:$A$18,A70,Candidate_Management!$G$2:$G$18)=0,"",SUMIF(Candidate_Management!$A$2:$A$18,A70,Candidate_Management!$G$2:$G$18))</f>
        <v>155</v>
      </c>
      <c r="I70" s="36">
        <f>IF(H70="","",SUMIF(Farmer_Year_Results!$A$2:$A$6,C70,Farmer_Year_Results!$G$2:$G$6))</f>
        <v>55</v>
      </c>
      <c r="J70" s="36">
        <f t="shared" si="4"/>
        <v>210</v>
      </c>
      <c r="K70" s="36">
        <f>IF(SUMIF(Candidate_Management!$A$2:$A$18,A70,Candidate_Management!$H$2:$H$18)=0,"",SUMIF(Candidate_Management!$A$2:$A$18,A70,Candidate_Management!$H$2:$H$18))</f>
        <v>330</v>
      </c>
      <c r="L70" s="37">
        <f>IF(SUMIF(Candidate_Management!$A$2:$A$18,A70,Candidate_Management!$I$2:$I$18)=0,"",SUMIF(Candidate_Management!$A$2:$A$18,A70,Candidate_Management!$I$2:$I$18))</f>
        <v>3</v>
      </c>
      <c r="M70" s="37">
        <f t="shared" si="5"/>
        <v>4</v>
      </c>
      <c r="N70" s="37">
        <f>IF(SUMIF(Candidate_Management!$A$2:$A$18,A70,Candidate_Management!$J$2:$J$18)=0,"",SUMIF(Candidate_Management!$A$2:$A$18,A70,Candidate_Management!$J$2:$J$18))</f>
        <v>1</v>
      </c>
      <c r="O70" s="38" t="s">
        <v>67</v>
      </c>
      <c r="P70" s="38"/>
    </row>
    <row r="71" spans="1:16" s="32" customFormat="1">
      <c r="A71" s="33" t="s">
        <v>23</v>
      </c>
      <c r="B71" s="33" t="s">
        <v>11</v>
      </c>
      <c r="C71" s="33">
        <v>2023</v>
      </c>
      <c r="D71" s="34">
        <v>11984</v>
      </c>
      <c r="E71" s="35">
        <v>3.24</v>
      </c>
      <c r="F71" s="35">
        <v>44.21</v>
      </c>
      <c r="G71" s="35">
        <v>1.81</v>
      </c>
      <c r="H71" s="36">
        <f>IF(SUMIF(Candidate_Management!$A$2:$A$18,A71,Candidate_Management!$G$2:$G$18)=0,"",SUMIF(Candidate_Management!$A$2:$A$18,A71,Candidate_Management!$G$2:$G$18))</f>
        <v>155</v>
      </c>
      <c r="I71" s="36">
        <f>IF(H71="","",SUMIF(Farmer_Year_Results!$A$2:$A$6,C71,Farmer_Year_Results!$G$2:$G$6))</f>
        <v>65</v>
      </c>
      <c r="J71" s="36">
        <f t="shared" si="4"/>
        <v>220</v>
      </c>
      <c r="K71" s="36">
        <f>IF(SUMIF(Candidate_Management!$A$2:$A$18,A71,Candidate_Management!$H$2:$H$18)=0,"",SUMIF(Candidate_Management!$A$2:$A$18,A71,Candidate_Management!$H$2:$H$18))</f>
        <v>330</v>
      </c>
      <c r="L71" s="37">
        <f>IF(SUMIF(Candidate_Management!$A$2:$A$18,A71,Candidate_Management!$I$2:$I$18)=0,"",SUMIF(Candidate_Management!$A$2:$A$18,A71,Candidate_Management!$I$2:$I$18))</f>
        <v>3</v>
      </c>
      <c r="M71" s="37">
        <f t="shared" si="5"/>
        <v>4</v>
      </c>
      <c r="N71" s="37">
        <f>IF(SUMIF(Candidate_Management!$A$2:$A$18,A71,Candidate_Management!$J$2:$J$18)=0,"",SUMIF(Candidate_Management!$A$2:$A$18,A71,Candidate_Management!$J$2:$J$18))</f>
        <v>1</v>
      </c>
      <c r="O71" s="38" t="s">
        <v>67</v>
      </c>
      <c r="P71" s="38"/>
    </row>
    <row r="72" spans="1:16" s="32" customFormat="1">
      <c r="A72" s="33" t="s">
        <v>24</v>
      </c>
      <c r="B72" s="33" t="s">
        <v>11</v>
      </c>
      <c r="C72" s="33">
        <v>2019</v>
      </c>
      <c r="D72" s="34">
        <v>11881</v>
      </c>
      <c r="E72" s="35">
        <v>3.14</v>
      </c>
      <c r="F72" s="35">
        <v>44.9</v>
      </c>
      <c r="G72" s="35">
        <v>1.81</v>
      </c>
      <c r="H72" s="36">
        <f>IF(SUMIF(Candidate_Management!$A$2:$A$18,A72,Candidate_Management!$G$2:$G$18)=0,"",SUMIF(Candidate_Management!$A$2:$A$18,A72,Candidate_Management!$G$2:$G$18))</f>
        <v>190</v>
      </c>
      <c r="I72" s="36">
        <f>IF(H72="","",SUMIF(Farmer_Year_Results!$A$2:$A$6,C72,Farmer_Year_Results!$G$2:$G$6))</f>
        <v>45</v>
      </c>
      <c r="J72" s="36">
        <f t="shared" si="4"/>
        <v>235</v>
      </c>
      <c r="K72" s="36">
        <f>IF(SUMIF(Candidate_Management!$A$2:$A$18,A72,Candidate_Management!$H$2:$H$18)=0,"",SUMIF(Candidate_Management!$A$2:$A$18,A72,Candidate_Management!$H$2:$H$18))</f>
        <v>300</v>
      </c>
      <c r="L72" s="37">
        <f>IF(SUMIF(Candidate_Management!$A$2:$A$18,A72,Candidate_Management!$I$2:$I$18)=0,"",SUMIF(Candidate_Management!$A$2:$A$18,A72,Candidate_Management!$I$2:$I$18))</f>
        <v>4</v>
      </c>
      <c r="M72" s="37">
        <f t="shared" si="5"/>
        <v>5</v>
      </c>
      <c r="N72" s="37">
        <f>IF(SUMIF(Candidate_Management!$A$2:$A$18,A72,Candidate_Management!$J$2:$J$18)=0,"",SUMIF(Candidate_Management!$A$2:$A$18,A72,Candidate_Management!$J$2:$J$18))</f>
        <v>2</v>
      </c>
      <c r="O72" s="38" t="s">
        <v>67</v>
      </c>
      <c r="P72" s="38"/>
    </row>
    <row r="73" spans="1:16" s="32" customFormat="1">
      <c r="A73" s="33" t="s">
        <v>24</v>
      </c>
      <c r="B73" s="33" t="s">
        <v>11</v>
      </c>
      <c r="C73" s="33">
        <v>2020</v>
      </c>
      <c r="D73" s="34">
        <v>11886</v>
      </c>
      <c r="E73" s="35">
        <v>3.05</v>
      </c>
      <c r="F73" s="35">
        <v>44.38</v>
      </c>
      <c r="G73" s="35">
        <v>1.65</v>
      </c>
      <c r="H73" s="36">
        <f>IF(SUMIF(Candidate_Management!$A$2:$A$18,A73,Candidate_Management!$G$2:$G$18)=0,"",SUMIF(Candidate_Management!$A$2:$A$18,A73,Candidate_Management!$G$2:$G$18))</f>
        <v>190</v>
      </c>
      <c r="I73" s="36">
        <f>IF(H73="","",SUMIF(Farmer_Year_Results!$A$2:$A$6,C73,Farmer_Year_Results!$G$2:$G$6))</f>
        <v>52</v>
      </c>
      <c r="J73" s="36">
        <f t="shared" si="4"/>
        <v>242</v>
      </c>
      <c r="K73" s="36">
        <f>IF(SUMIF(Candidate_Management!$A$2:$A$18,A73,Candidate_Management!$H$2:$H$18)=0,"",SUMIF(Candidate_Management!$A$2:$A$18,A73,Candidate_Management!$H$2:$H$18))</f>
        <v>300</v>
      </c>
      <c r="L73" s="37">
        <f>IF(SUMIF(Candidate_Management!$A$2:$A$18,A73,Candidate_Management!$I$2:$I$18)=0,"",SUMIF(Candidate_Management!$A$2:$A$18,A73,Candidate_Management!$I$2:$I$18))</f>
        <v>4</v>
      </c>
      <c r="M73" s="37">
        <f t="shared" si="5"/>
        <v>5</v>
      </c>
      <c r="N73" s="37">
        <f>IF(SUMIF(Candidate_Management!$A$2:$A$18,A73,Candidate_Management!$J$2:$J$18)=0,"",SUMIF(Candidate_Management!$A$2:$A$18,A73,Candidate_Management!$J$2:$J$18))</f>
        <v>2</v>
      </c>
      <c r="O73" s="38" t="s">
        <v>67</v>
      </c>
      <c r="P73" s="38"/>
    </row>
    <row r="74" spans="1:16" s="32" customFormat="1">
      <c r="A74" s="33" t="s">
        <v>24</v>
      </c>
      <c r="B74" s="33" t="s">
        <v>11</v>
      </c>
      <c r="C74" s="33">
        <v>2021</v>
      </c>
      <c r="D74" s="34">
        <v>11894</v>
      </c>
      <c r="E74" s="35">
        <v>2.86</v>
      </c>
      <c r="F74" s="35">
        <v>45.91</v>
      </c>
      <c r="G74" s="35">
        <v>1.65</v>
      </c>
      <c r="H74" s="36">
        <f>IF(SUMIF(Candidate_Management!$A$2:$A$18,A74,Candidate_Management!$G$2:$G$18)=0,"",SUMIF(Candidate_Management!$A$2:$A$18,A74,Candidate_Management!$G$2:$G$18))</f>
        <v>190</v>
      </c>
      <c r="I74" s="36">
        <f>IF(H74="","",SUMIF(Farmer_Year_Results!$A$2:$A$6,C74,Farmer_Year_Results!$G$2:$G$6))</f>
        <v>58</v>
      </c>
      <c r="J74" s="36">
        <f t="shared" si="4"/>
        <v>248</v>
      </c>
      <c r="K74" s="36">
        <f>IF(SUMIF(Candidate_Management!$A$2:$A$18,A74,Candidate_Management!$H$2:$H$18)=0,"",SUMIF(Candidate_Management!$A$2:$A$18,A74,Candidate_Management!$H$2:$H$18))</f>
        <v>300</v>
      </c>
      <c r="L74" s="37">
        <f>IF(SUMIF(Candidate_Management!$A$2:$A$18,A74,Candidate_Management!$I$2:$I$18)=0,"",SUMIF(Candidate_Management!$A$2:$A$18,A74,Candidate_Management!$I$2:$I$18))</f>
        <v>4</v>
      </c>
      <c r="M74" s="37">
        <f t="shared" si="5"/>
        <v>5</v>
      </c>
      <c r="N74" s="37">
        <f>IF(SUMIF(Candidate_Management!$A$2:$A$18,A74,Candidate_Management!$J$2:$J$18)=0,"",SUMIF(Candidate_Management!$A$2:$A$18,A74,Candidate_Management!$J$2:$J$18))</f>
        <v>2</v>
      </c>
      <c r="O74" s="38" t="s">
        <v>67</v>
      </c>
      <c r="P74" s="38"/>
    </row>
    <row r="75" spans="1:16" s="32" customFormat="1">
      <c r="A75" s="33" t="s">
        <v>24</v>
      </c>
      <c r="B75" s="33" t="s">
        <v>11</v>
      </c>
      <c r="C75" s="33">
        <v>2022</v>
      </c>
      <c r="D75" s="34">
        <v>11919</v>
      </c>
      <c r="E75" s="35">
        <v>2.75</v>
      </c>
      <c r="F75" s="35">
        <v>44.89</v>
      </c>
      <c r="G75" s="35">
        <v>1.51</v>
      </c>
      <c r="H75" s="36">
        <f>IF(SUMIF(Candidate_Management!$A$2:$A$18,A75,Candidate_Management!$G$2:$G$18)=0,"",SUMIF(Candidate_Management!$A$2:$A$18,A75,Candidate_Management!$G$2:$G$18))</f>
        <v>190</v>
      </c>
      <c r="I75" s="36">
        <f>IF(H75="","",SUMIF(Farmer_Year_Results!$A$2:$A$6,C75,Farmer_Year_Results!$G$2:$G$6))</f>
        <v>55</v>
      </c>
      <c r="J75" s="36">
        <f t="shared" si="4"/>
        <v>245</v>
      </c>
      <c r="K75" s="36">
        <f>IF(SUMIF(Candidate_Management!$A$2:$A$18,A75,Candidate_Management!$H$2:$H$18)=0,"",SUMIF(Candidate_Management!$A$2:$A$18,A75,Candidate_Management!$H$2:$H$18))</f>
        <v>300</v>
      </c>
      <c r="L75" s="37">
        <f>IF(SUMIF(Candidate_Management!$A$2:$A$18,A75,Candidate_Management!$I$2:$I$18)=0,"",SUMIF(Candidate_Management!$A$2:$A$18,A75,Candidate_Management!$I$2:$I$18))</f>
        <v>4</v>
      </c>
      <c r="M75" s="37">
        <f t="shared" si="5"/>
        <v>5</v>
      </c>
      <c r="N75" s="37">
        <f>IF(SUMIF(Candidate_Management!$A$2:$A$18,A75,Candidate_Management!$J$2:$J$18)=0,"",SUMIF(Candidate_Management!$A$2:$A$18,A75,Candidate_Management!$J$2:$J$18))</f>
        <v>2</v>
      </c>
      <c r="O75" s="38" t="s">
        <v>67</v>
      </c>
      <c r="P75" s="38"/>
    </row>
    <row r="76" spans="1:16" s="32" customFormat="1">
      <c r="A76" s="33" t="s">
        <v>24</v>
      </c>
      <c r="B76" s="33" t="s">
        <v>11</v>
      </c>
      <c r="C76" s="33">
        <v>2023</v>
      </c>
      <c r="D76" s="34">
        <v>11953</v>
      </c>
      <c r="E76" s="35">
        <v>3.26</v>
      </c>
      <c r="F76" s="35">
        <v>43.92</v>
      </c>
      <c r="G76" s="35">
        <v>1.79</v>
      </c>
      <c r="H76" s="36">
        <f>IF(SUMIF(Candidate_Management!$A$2:$A$18,A76,Candidate_Management!$G$2:$G$18)=0,"",SUMIF(Candidate_Management!$A$2:$A$18,A76,Candidate_Management!$G$2:$G$18))</f>
        <v>190</v>
      </c>
      <c r="I76" s="36">
        <f>IF(H76="","",SUMIF(Farmer_Year_Results!$A$2:$A$6,C76,Farmer_Year_Results!$G$2:$G$6))</f>
        <v>65</v>
      </c>
      <c r="J76" s="36">
        <f t="shared" si="4"/>
        <v>255</v>
      </c>
      <c r="K76" s="36">
        <f>IF(SUMIF(Candidate_Management!$A$2:$A$18,A76,Candidate_Management!$H$2:$H$18)=0,"",SUMIF(Candidate_Management!$A$2:$A$18,A76,Candidate_Management!$H$2:$H$18))</f>
        <v>300</v>
      </c>
      <c r="L76" s="37">
        <f>IF(SUMIF(Candidate_Management!$A$2:$A$18,A76,Candidate_Management!$I$2:$I$18)=0,"",SUMIF(Candidate_Management!$A$2:$A$18,A76,Candidate_Management!$I$2:$I$18))</f>
        <v>4</v>
      </c>
      <c r="M76" s="37">
        <f t="shared" si="5"/>
        <v>5</v>
      </c>
      <c r="N76" s="37">
        <f>IF(SUMIF(Candidate_Management!$A$2:$A$18,A76,Candidate_Management!$J$2:$J$18)=0,"",SUMIF(Candidate_Management!$A$2:$A$18,A76,Candidate_Management!$J$2:$J$18))</f>
        <v>2</v>
      </c>
      <c r="O76" s="38" t="s">
        <v>67</v>
      </c>
      <c r="P76" s="38"/>
    </row>
    <row r="77" spans="1:16" s="32" customFormat="1">
      <c r="A77" s="33" t="s">
        <v>25</v>
      </c>
      <c r="B77" s="33" t="s">
        <v>11</v>
      </c>
      <c r="C77" s="33">
        <v>2019</v>
      </c>
      <c r="D77" s="34">
        <v>11817</v>
      </c>
      <c r="E77" s="35">
        <v>3.05</v>
      </c>
      <c r="F77" s="35">
        <v>46.91</v>
      </c>
      <c r="G77" s="35">
        <v>1.76</v>
      </c>
      <c r="H77" s="36">
        <f>IF(SUMIF(Candidate_Management!$A$2:$A$18,A77,Candidate_Management!$G$2:$G$18)=0,"",SUMIF(Candidate_Management!$A$2:$A$18,A77,Candidate_Management!$G$2:$G$18))</f>
        <v>230</v>
      </c>
      <c r="I77" s="36">
        <f>IF(H77="","",SUMIF(Farmer_Year_Results!$A$2:$A$6,C77,Farmer_Year_Results!$G$2:$G$6))</f>
        <v>45</v>
      </c>
      <c r="J77" s="36">
        <f t="shared" si="4"/>
        <v>275</v>
      </c>
      <c r="K77" s="36">
        <f>IF(SUMIF(Candidate_Management!$A$2:$A$18,A77,Candidate_Management!$H$2:$H$18)=0,"",SUMIF(Candidate_Management!$A$2:$A$18,A77,Candidate_Management!$H$2:$H$18))</f>
        <v>210</v>
      </c>
      <c r="L77" s="37">
        <f>IF(SUMIF(Candidate_Management!$A$2:$A$18,A77,Candidate_Management!$I$2:$I$18)=0,"",SUMIF(Candidate_Management!$A$2:$A$18,A77,Candidate_Management!$I$2:$I$18))</f>
        <v>5</v>
      </c>
      <c r="M77" s="37">
        <f t="shared" si="5"/>
        <v>6</v>
      </c>
      <c r="N77" s="37">
        <f>IF(SUMIF(Candidate_Management!$A$2:$A$18,A77,Candidate_Management!$J$2:$J$18)=0,"",SUMIF(Candidate_Management!$A$2:$A$18,A77,Candidate_Management!$J$2:$J$18))</f>
        <v>3</v>
      </c>
      <c r="O77" s="38" t="s">
        <v>67</v>
      </c>
      <c r="P77" s="38"/>
    </row>
    <row r="78" spans="1:16" s="32" customFormat="1">
      <c r="A78" s="33" t="s">
        <v>25</v>
      </c>
      <c r="B78" s="33" t="s">
        <v>11</v>
      </c>
      <c r="C78" s="33">
        <v>2020</v>
      </c>
      <c r="D78" s="34">
        <v>11825</v>
      </c>
      <c r="E78" s="35">
        <v>2.91</v>
      </c>
      <c r="F78" s="35">
        <v>46.38</v>
      </c>
      <c r="G78" s="35">
        <v>1.66</v>
      </c>
      <c r="H78" s="36">
        <f>IF(SUMIF(Candidate_Management!$A$2:$A$18,A78,Candidate_Management!$G$2:$G$18)=0,"",SUMIF(Candidate_Management!$A$2:$A$18,A78,Candidate_Management!$G$2:$G$18))</f>
        <v>230</v>
      </c>
      <c r="I78" s="36">
        <f>IF(H78="","",SUMIF(Farmer_Year_Results!$A$2:$A$6,C78,Farmer_Year_Results!$G$2:$G$6))</f>
        <v>52</v>
      </c>
      <c r="J78" s="36">
        <f t="shared" si="4"/>
        <v>282</v>
      </c>
      <c r="K78" s="36">
        <f>IF(SUMIF(Candidate_Management!$A$2:$A$18,A78,Candidate_Management!$H$2:$H$18)=0,"",SUMIF(Candidate_Management!$A$2:$A$18,A78,Candidate_Management!$H$2:$H$18))</f>
        <v>210</v>
      </c>
      <c r="L78" s="37">
        <f>IF(SUMIF(Candidate_Management!$A$2:$A$18,A78,Candidate_Management!$I$2:$I$18)=0,"",SUMIF(Candidate_Management!$A$2:$A$18,A78,Candidate_Management!$I$2:$I$18))</f>
        <v>5</v>
      </c>
      <c r="M78" s="37">
        <f t="shared" si="5"/>
        <v>6</v>
      </c>
      <c r="N78" s="37">
        <f>IF(SUMIF(Candidate_Management!$A$2:$A$18,A78,Candidate_Management!$J$2:$J$18)=0,"",SUMIF(Candidate_Management!$A$2:$A$18,A78,Candidate_Management!$J$2:$J$18))</f>
        <v>3</v>
      </c>
      <c r="O78" s="38" t="s">
        <v>67</v>
      </c>
      <c r="P78" s="38"/>
    </row>
    <row r="79" spans="1:16" s="32" customFormat="1">
      <c r="A79" s="33" t="s">
        <v>25</v>
      </c>
      <c r="B79" s="33" t="s">
        <v>11</v>
      </c>
      <c r="C79" s="33">
        <v>2021</v>
      </c>
      <c r="D79" s="34">
        <v>11831</v>
      </c>
      <c r="E79" s="35">
        <v>2.73</v>
      </c>
      <c r="F79" s="35">
        <v>47.92</v>
      </c>
      <c r="G79" s="35">
        <v>1.61</v>
      </c>
      <c r="H79" s="36">
        <f>IF(SUMIF(Candidate_Management!$A$2:$A$18,A79,Candidate_Management!$G$2:$G$18)=0,"",SUMIF(Candidate_Management!$A$2:$A$18,A79,Candidate_Management!$G$2:$G$18))</f>
        <v>230</v>
      </c>
      <c r="I79" s="36">
        <f>IF(H79="","",SUMIF(Farmer_Year_Results!$A$2:$A$6,C79,Farmer_Year_Results!$G$2:$G$6))</f>
        <v>58</v>
      </c>
      <c r="J79" s="36">
        <f t="shared" si="4"/>
        <v>288</v>
      </c>
      <c r="K79" s="36">
        <f>IF(SUMIF(Candidate_Management!$A$2:$A$18,A79,Candidate_Management!$H$2:$H$18)=0,"",SUMIF(Candidate_Management!$A$2:$A$18,A79,Candidate_Management!$H$2:$H$18))</f>
        <v>210</v>
      </c>
      <c r="L79" s="37">
        <f>IF(SUMIF(Candidate_Management!$A$2:$A$18,A79,Candidate_Management!$I$2:$I$18)=0,"",SUMIF(Candidate_Management!$A$2:$A$18,A79,Candidate_Management!$I$2:$I$18))</f>
        <v>5</v>
      </c>
      <c r="M79" s="37">
        <f t="shared" si="5"/>
        <v>6</v>
      </c>
      <c r="N79" s="37">
        <f>IF(SUMIF(Candidate_Management!$A$2:$A$18,A79,Candidate_Management!$J$2:$J$18)=0,"",SUMIF(Candidate_Management!$A$2:$A$18,A79,Candidate_Management!$J$2:$J$18))</f>
        <v>3</v>
      </c>
      <c r="O79" s="38" t="s">
        <v>67</v>
      </c>
      <c r="P79" s="38"/>
    </row>
    <row r="80" spans="1:16" s="32" customFormat="1">
      <c r="A80" s="33" t="s">
        <v>25</v>
      </c>
      <c r="B80" s="33" t="s">
        <v>11</v>
      </c>
      <c r="C80" s="33">
        <v>2022</v>
      </c>
      <c r="D80" s="34">
        <v>11841</v>
      </c>
      <c r="E80" s="35">
        <v>2.65</v>
      </c>
      <c r="F80" s="35">
        <v>46.92</v>
      </c>
      <c r="G80" s="35">
        <v>1.52</v>
      </c>
      <c r="H80" s="36">
        <f>IF(SUMIF(Candidate_Management!$A$2:$A$18,A80,Candidate_Management!$G$2:$G$18)=0,"",SUMIF(Candidate_Management!$A$2:$A$18,A80,Candidate_Management!$G$2:$G$18))</f>
        <v>230</v>
      </c>
      <c r="I80" s="36">
        <f>IF(H80="","",SUMIF(Farmer_Year_Results!$A$2:$A$6,C80,Farmer_Year_Results!$G$2:$G$6))</f>
        <v>55</v>
      </c>
      <c r="J80" s="36">
        <f t="shared" si="4"/>
        <v>285</v>
      </c>
      <c r="K80" s="36">
        <f>IF(SUMIF(Candidate_Management!$A$2:$A$18,A80,Candidate_Management!$H$2:$H$18)=0,"",SUMIF(Candidate_Management!$A$2:$A$18,A80,Candidate_Management!$H$2:$H$18))</f>
        <v>210</v>
      </c>
      <c r="L80" s="37">
        <f>IF(SUMIF(Candidate_Management!$A$2:$A$18,A80,Candidate_Management!$I$2:$I$18)=0,"",SUMIF(Candidate_Management!$A$2:$A$18,A80,Candidate_Management!$I$2:$I$18))</f>
        <v>5</v>
      </c>
      <c r="M80" s="37">
        <f t="shared" si="5"/>
        <v>6</v>
      </c>
      <c r="N80" s="37">
        <f>IF(SUMIF(Candidate_Management!$A$2:$A$18,A80,Candidate_Management!$J$2:$J$18)=0,"",SUMIF(Candidate_Management!$A$2:$A$18,A80,Candidate_Management!$J$2:$J$18))</f>
        <v>3</v>
      </c>
      <c r="O80" s="38" t="s">
        <v>67</v>
      </c>
      <c r="P80" s="38"/>
    </row>
    <row r="81" spans="1:16" s="32" customFormat="1">
      <c r="A81" s="33" t="s">
        <v>25</v>
      </c>
      <c r="B81" s="33" t="s">
        <v>11</v>
      </c>
      <c r="C81" s="33">
        <v>2023</v>
      </c>
      <c r="D81" s="34">
        <v>11886</v>
      </c>
      <c r="E81" s="35">
        <v>3.14</v>
      </c>
      <c r="F81" s="35">
        <v>45.91</v>
      </c>
      <c r="G81" s="35">
        <v>1.79</v>
      </c>
      <c r="H81" s="36">
        <f>IF(SUMIF(Candidate_Management!$A$2:$A$18,A81,Candidate_Management!$G$2:$G$18)=0,"",SUMIF(Candidate_Management!$A$2:$A$18,A81,Candidate_Management!$G$2:$G$18))</f>
        <v>230</v>
      </c>
      <c r="I81" s="36">
        <f>IF(H81="","",SUMIF(Farmer_Year_Results!$A$2:$A$6,C81,Farmer_Year_Results!$G$2:$G$6))</f>
        <v>65</v>
      </c>
      <c r="J81" s="36">
        <f t="shared" si="4"/>
        <v>295</v>
      </c>
      <c r="K81" s="36">
        <f>IF(SUMIF(Candidate_Management!$A$2:$A$18,A81,Candidate_Management!$H$2:$H$18)=0,"",SUMIF(Candidate_Management!$A$2:$A$18,A81,Candidate_Management!$H$2:$H$18))</f>
        <v>210</v>
      </c>
      <c r="L81" s="37">
        <f>IF(SUMIF(Candidate_Management!$A$2:$A$18,A81,Candidate_Management!$I$2:$I$18)=0,"",SUMIF(Candidate_Management!$A$2:$A$18,A81,Candidate_Management!$I$2:$I$18))</f>
        <v>5</v>
      </c>
      <c r="M81" s="37">
        <f t="shared" si="5"/>
        <v>6</v>
      </c>
      <c r="N81" s="37">
        <f>IF(SUMIF(Candidate_Management!$A$2:$A$18,A81,Candidate_Management!$J$2:$J$18)=0,"",SUMIF(Candidate_Management!$A$2:$A$18,A81,Candidate_Management!$J$2:$J$18))</f>
        <v>3</v>
      </c>
      <c r="O81" s="38" t="s">
        <v>67</v>
      </c>
      <c r="P81" s="38"/>
    </row>
    <row r="82" spans="1:16" s="32" customFormat="1">
      <c r="A82" s="33" t="s">
        <v>26</v>
      </c>
      <c r="B82" s="33" t="s">
        <v>11</v>
      </c>
      <c r="C82" s="33">
        <v>2019</v>
      </c>
      <c r="D82" s="34">
        <v>11812</v>
      </c>
      <c r="E82" s="35">
        <v>2.98</v>
      </c>
      <c r="F82" s="35">
        <v>47.3</v>
      </c>
      <c r="G82" s="35">
        <v>1.75</v>
      </c>
      <c r="H82" s="36">
        <f>IF(SUMIF(Candidate_Management!$A$2:$A$18,A82,Candidate_Management!$G$2:$G$18)=0,"",SUMIF(Candidate_Management!$A$2:$A$18,A82,Candidate_Management!$G$2:$G$18))</f>
        <v>215</v>
      </c>
      <c r="I82" s="36">
        <f>IF(H82="","",SUMIF(Farmer_Year_Results!$A$2:$A$6,C82,Farmer_Year_Results!$G$2:$G$6))</f>
        <v>45</v>
      </c>
      <c r="J82" s="36">
        <f t="shared" si="4"/>
        <v>260</v>
      </c>
      <c r="K82" s="36">
        <f>IF(SUMIF(Candidate_Management!$A$2:$A$18,A82,Candidate_Management!$H$2:$H$18)=0,"",SUMIF(Candidate_Management!$A$2:$A$18,A82,Candidate_Management!$H$2:$H$18))</f>
        <v>210</v>
      </c>
      <c r="L82" s="37">
        <f>IF(SUMIF(Candidate_Management!$A$2:$A$18,A82,Candidate_Management!$I$2:$I$18)=0,"",SUMIF(Candidate_Management!$A$2:$A$18,A82,Candidate_Management!$I$2:$I$18))</f>
        <v>5</v>
      </c>
      <c r="M82" s="37">
        <f t="shared" si="5"/>
        <v>6</v>
      </c>
      <c r="N82" s="37">
        <f>IF(SUMIF(Candidate_Management!$A$2:$A$18,A82,Candidate_Management!$J$2:$J$18)=0,"",SUMIF(Candidate_Management!$A$2:$A$18,A82,Candidate_Management!$J$2:$J$18))</f>
        <v>2</v>
      </c>
      <c r="O82" s="38" t="s">
        <v>67</v>
      </c>
      <c r="P82" s="38"/>
    </row>
    <row r="83" spans="1:16" s="32" customFormat="1">
      <c r="A83" s="33" t="s">
        <v>26</v>
      </c>
      <c r="B83" s="33" t="s">
        <v>11</v>
      </c>
      <c r="C83" s="33">
        <v>2020</v>
      </c>
      <c r="D83" s="34">
        <v>11816</v>
      </c>
      <c r="E83" s="35">
        <v>2.86</v>
      </c>
      <c r="F83" s="35">
        <v>46.82</v>
      </c>
      <c r="G83" s="35">
        <v>1.64</v>
      </c>
      <c r="H83" s="36">
        <f>IF(SUMIF(Candidate_Management!$A$2:$A$18,A83,Candidate_Management!$G$2:$G$18)=0,"",SUMIF(Candidate_Management!$A$2:$A$18,A83,Candidate_Management!$G$2:$G$18))</f>
        <v>215</v>
      </c>
      <c r="I83" s="36">
        <f>IF(H83="","",SUMIF(Farmer_Year_Results!$A$2:$A$6,C83,Farmer_Year_Results!$G$2:$G$6))</f>
        <v>52</v>
      </c>
      <c r="J83" s="36">
        <f t="shared" si="4"/>
        <v>267</v>
      </c>
      <c r="K83" s="36">
        <f>IF(SUMIF(Candidate_Management!$A$2:$A$18,A83,Candidate_Management!$H$2:$H$18)=0,"",SUMIF(Candidate_Management!$A$2:$A$18,A83,Candidate_Management!$H$2:$H$18))</f>
        <v>210</v>
      </c>
      <c r="L83" s="37">
        <f>IF(SUMIF(Candidate_Management!$A$2:$A$18,A83,Candidate_Management!$I$2:$I$18)=0,"",SUMIF(Candidate_Management!$A$2:$A$18,A83,Candidate_Management!$I$2:$I$18))</f>
        <v>5</v>
      </c>
      <c r="M83" s="37">
        <f t="shared" si="5"/>
        <v>6</v>
      </c>
      <c r="N83" s="37">
        <f>IF(SUMIF(Candidate_Management!$A$2:$A$18,A83,Candidate_Management!$J$2:$J$18)=0,"",SUMIF(Candidate_Management!$A$2:$A$18,A83,Candidate_Management!$J$2:$J$18))</f>
        <v>2</v>
      </c>
      <c r="O83" s="38" t="s">
        <v>67</v>
      </c>
      <c r="P83" s="38"/>
    </row>
    <row r="84" spans="1:16" s="32" customFormat="1">
      <c r="A84" s="33" t="s">
        <v>26</v>
      </c>
      <c r="B84" s="33" t="s">
        <v>11</v>
      </c>
      <c r="C84" s="33">
        <v>2021</v>
      </c>
      <c r="D84" s="34">
        <v>11828</v>
      </c>
      <c r="E84" s="35">
        <v>2.69</v>
      </c>
      <c r="F84" s="35">
        <v>48.31</v>
      </c>
      <c r="G84" s="35">
        <v>1.62</v>
      </c>
      <c r="H84" s="36">
        <f>IF(SUMIF(Candidate_Management!$A$2:$A$18,A84,Candidate_Management!$G$2:$G$18)=0,"",SUMIF(Candidate_Management!$A$2:$A$18,A84,Candidate_Management!$G$2:$G$18))</f>
        <v>215</v>
      </c>
      <c r="I84" s="36">
        <f>IF(H84="","",SUMIF(Farmer_Year_Results!$A$2:$A$6,C84,Farmer_Year_Results!$G$2:$G$6))</f>
        <v>58</v>
      </c>
      <c r="J84" s="36">
        <f t="shared" si="4"/>
        <v>273</v>
      </c>
      <c r="K84" s="36">
        <f>IF(SUMIF(Candidate_Management!$A$2:$A$18,A84,Candidate_Management!$H$2:$H$18)=0,"",SUMIF(Candidate_Management!$A$2:$A$18,A84,Candidate_Management!$H$2:$H$18))</f>
        <v>210</v>
      </c>
      <c r="L84" s="37">
        <f>IF(SUMIF(Candidate_Management!$A$2:$A$18,A84,Candidate_Management!$I$2:$I$18)=0,"",SUMIF(Candidate_Management!$A$2:$A$18,A84,Candidate_Management!$I$2:$I$18))</f>
        <v>5</v>
      </c>
      <c r="M84" s="37">
        <f t="shared" si="5"/>
        <v>6</v>
      </c>
      <c r="N84" s="37">
        <f>IF(SUMIF(Candidate_Management!$A$2:$A$18,A84,Candidate_Management!$J$2:$J$18)=0,"",SUMIF(Candidate_Management!$A$2:$A$18,A84,Candidate_Management!$J$2:$J$18))</f>
        <v>2</v>
      </c>
      <c r="O84" s="38" t="s">
        <v>67</v>
      </c>
      <c r="P84" s="38"/>
    </row>
    <row r="85" spans="1:16" s="32" customFormat="1">
      <c r="A85" s="33" t="s">
        <v>26</v>
      </c>
      <c r="B85" s="33" t="s">
        <v>11</v>
      </c>
      <c r="C85" s="33">
        <v>2022</v>
      </c>
      <c r="D85" s="34">
        <v>11837</v>
      </c>
      <c r="E85" s="35">
        <v>2.61</v>
      </c>
      <c r="F85" s="35">
        <v>47.29</v>
      </c>
      <c r="G85" s="35">
        <v>1.52</v>
      </c>
      <c r="H85" s="36">
        <f>IF(SUMIF(Candidate_Management!$A$2:$A$18,A85,Candidate_Management!$G$2:$G$18)=0,"",SUMIF(Candidate_Management!$A$2:$A$18,A85,Candidate_Management!$G$2:$G$18))</f>
        <v>215</v>
      </c>
      <c r="I85" s="36">
        <f>IF(H85="","",SUMIF(Farmer_Year_Results!$A$2:$A$6,C85,Farmer_Year_Results!$G$2:$G$6))</f>
        <v>55</v>
      </c>
      <c r="J85" s="36">
        <f t="shared" si="4"/>
        <v>270</v>
      </c>
      <c r="K85" s="36">
        <f>IF(SUMIF(Candidate_Management!$A$2:$A$18,A85,Candidate_Management!$H$2:$H$18)=0,"",SUMIF(Candidate_Management!$A$2:$A$18,A85,Candidate_Management!$H$2:$H$18))</f>
        <v>210</v>
      </c>
      <c r="L85" s="37">
        <f>IF(SUMIF(Candidate_Management!$A$2:$A$18,A85,Candidate_Management!$I$2:$I$18)=0,"",SUMIF(Candidate_Management!$A$2:$A$18,A85,Candidate_Management!$I$2:$I$18))</f>
        <v>5</v>
      </c>
      <c r="M85" s="37">
        <f t="shared" si="5"/>
        <v>6</v>
      </c>
      <c r="N85" s="37">
        <f>IF(SUMIF(Candidate_Management!$A$2:$A$18,A85,Candidate_Management!$J$2:$J$18)=0,"",SUMIF(Candidate_Management!$A$2:$A$18,A85,Candidate_Management!$J$2:$J$18))</f>
        <v>2</v>
      </c>
      <c r="O85" s="38" t="s">
        <v>67</v>
      </c>
      <c r="P85" s="38"/>
    </row>
    <row r="86" spans="1:16" s="32" customFormat="1">
      <c r="A86" s="39" t="s">
        <v>26</v>
      </c>
      <c r="B86" s="39" t="s">
        <v>11</v>
      </c>
      <c r="C86" s="39">
        <v>2023</v>
      </c>
      <c r="D86" s="40">
        <v>11881</v>
      </c>
      <c r="E86" s="41">
        <v>3.13</v>
      </c>
      <c r="F86" s="41">
        <v>46.32</v>
      </c>
      <c r="G86" s="41">
        <v>1.76</v>
      </c>
      <c r="H86" s="42">
        <f>IF(SUMIF(Candidate_Management!$A$2:$A$18,A86,Candidate_Management!$G$2:$G$18)=0,"",SUMIF(Candidate_Management!$A$2:$A$18,A86,Candidate_Management!$G$2:$G$18))</f>
        <v>215</v>
      </c>
      <c r="I86" s="42">
        <f>IF(H86="","",SUMIF(Farmer_Year_Results!$A$2:$A$6,C86,Farmer_Year_Results!$G$2:$G$6))</f>
        <v>65</v>
      </c>
      <c r="J86" s="42">
        <f t="shared" si="4"/>
        <v>280</v>
      </c>
      <c r="K86" s="42">
        <f>IF(SUMIF(Candidate_Management!$A$2:$A$18,A86,Candidate_Management!$H$2:$H$18)=0,"",SUMIF(Candidate_Management!$A$2:$A$18,A86,Candidate_Management!$H$2:$H$18))</f>
        <v>210</v>
      </c>
      <c r="L86" s="43">
        <f>IF(SUMIF(Candidate_Management!$A$2:$A$18,A86,Candidate_Management!$I$2:$I$18)=0,"",SUMIF(Candidate_Management!$A$2:$A$18,A86,Candidate_Management!$I$2:$I$18))</f>
        <v>5</v>
      </c>
      <c r="M86" s="43">
        <f t="shared" si="5"/>
        <v>6</v>
      </c>
      <c r="N86" s="43">
        <f>IF(SUMIF(Candidate_Management!$A$2:$A$18,A86,Candidate_Management!$J$2:$J$18)=0,"",SUMIF(Candidate_Management!$A$2:$A$18,A86,Candidate_Management!$J$2:$J$18))</f>
        <v>2</v>
      </c>
      <c r="O86" s="38" t="s">
        <v>67</v>
      </c>
      <c r="P86" s="44"/>
    </row>
  </sheetData>
  <phoneticPr fontId="4" type="noConversion"/>
  <dataValidations count="1">
    <dataValidation type="list" sqref="O2:O86" xr:uid="{00000000-0002-0000-0200-000000000000}">
      <formula1>"OK,FAILED"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showGridLines="0" workbookViewId="0">
      <selection activeCell="H3" sqref="H3"/>
    </sheetView>
  </sheetViews>
  <sheetFormatPr defaultRowHeight="14"/>
  <cols>
    <col min="1" max="1" width="13.08203125" customWidth="1"/>
    <col min="2" max="3" width="12" customWidth="1"/>
    <col min="4" max="4" width="11.25" customWidth="1"/>
    <col min="5" max="5" width="9" customWidth="1"/>
    <col min="6" max="6" width="17.9140625" customWidth="1"/>
    <col min="7" max="7" width="25.4140625" customWidth="1"/>
    <col min="8" max="8" width="13.6640625" customWidth="1"/>
    <col min="9" max="9" width="18.4140625" customWidth="1"/>
    <col min="10" max="10" width="27.4140625" customWidth="1"/>
    <col min="11" max="11" width="16.58203125" customWidth="1"/>
    <col min="12" max="12" width="34" customWidth="1"/>
  </cols>
  <sheetData>
    <row r="1" spans="1:12" ht="42" customHeight="1">
      <c r="A1" s="25" t="s">
        <v>27</v>
      </c>
      <c r="B1" s="25" t="s">
        <v>28</v>
      </c>
      <c r="C1" s="25" t="s">
        <v>29</v>
      </c>
      <c r="D1" s="25" t="s">
        <v>30</v>
      </c>
      <c r="E1" s="25" t="s">
        <v>31</v>
      </c>
      <c r="F1" s="25" t="s">
        <v>36</v>
      </c>
      <c r="G1" s="25" t="s">
        <v>32</v>
      </c>
      <c r="H1" s="25" t="s">
        <v>4</v>
      </c>
      <c r="I1" s="25" t="s">
        <v>37</v>
      </c>
      <c r="J1" s="25" t="s">
        <v>6</v>
      </c>
      <c r="K1" s="25" t="s">
        <v>35</v>
      </c>
      <c r="L1" s="25" t="s">
        <v>7</v>
      </c>
    </row>
    <row r="2" spans="1:12">
      <c r="A2" s="1">
        <v>2019</v>
      </c>
      <c r="B2" s="2">
        <v>11754</v>
      </c>
      <c r="C2" s="13">
        <v>2.59</v>
      </c>
      <c r="D2" s="13">
        <v>42</v>
      </c>
      <c r="E2" s="13">
        <v>1.7</v>
      </c>
      <c r="F2" s="16">
        <v>394</v>
      </c>
      <c r="G2" s="16">
        <v>45</v>
      </c>
      <c r="H2" s="16">
        <v>382</v>
      </c>
      <c r="I2" s="17">
        <v>8</v>
      </c>
      <c r="J2" s="17">
        <v>3</v>
      </c>
      <c r="K2" s="4" t="s">
        <v>67</v>
      </c>
      <c r="L2" s="4"/>
    </row>
    <row r="3" spans="1:12">
      <c r="A3" s="5">
        <v>2020</v>
      </c>
      <c r="B3" s="6">
        <v>11760</v>
      </c>
      <c r="C3" s="14">
        <v>2.4900000000000002</v>
      </c>
      <c r="D3" s="14">
        <v>41.5</v>
      </c>
      <c r="E3" s="14">
        <v>1.6</v>
      </c>
      <c r="F3" s="18">
        <v>356</v>
      </c>
      <c r="G3" s="18">
        <v>52</v>
      </c>
      <c r="H3" s="18">
        <v>405</v>
      </c>
      <c r="I3" s="19">
        <v>6</v>
      </c>
      <c r="J3" s="19">
        <v>3</v>
      </c>
      <c r="K3" s="8" t="s">
        <v>67</v>
      </c>
      <c r="L3" s="8"/>
    </row>
    <row r="4" spans="1:12">
      <c r="A4" s="5">
        <v>2021</v>
      </c>
      <c r="B4" s="6">
        <v>11770</v>
      </c>
      <c r="C4" s="14">
        <v>2.2999999999999998</v>
      </c>
      <c r="D4" s="14">
        <v>43</v>
      </c>
      <c r="E4" s="14">
        <v>1.55</v>
      </c>
      <c r="F4" s="18">
        <v>372</v>
      </c>
      <c r="G4" s="18">
        <v>58</v>
      </c>
      <c r="H4" s="18">
        <v>390</v>
      </c>
      <c r="I4" s="19">
        <v>6</v>
      </c>
      <c r="J4" s="19">
        <v>3</v>
      </c>
      <c r="K4" s="8" t="s">
        <v>67</v>
      </c>
      <c r="L4" s="8"/>
    </row>
    <row r="5" spans="1:12">
      <c r="A5" s="5">
        <v>2022</v>
      </c>
      <c r="B5" s="6">
        <v>11780</v>
      </c>
      <c r="C5" s="14">
        <v>2.2000000000000002</v>
      </c>
      <c r="D5" s="14">
        <v>42</v>
      </c>
      <c r="E5" s="14">
        <v>1.45</v>
      </c>
      <c r="F5" s="18">
        <v>355</v>
      </c>
      <c r="G5" s="18">
        <v>55</v>
      </c>
      <c r="H5" s="18">
        <v>400</v>
      </c>
      <c r="I5" s="19">
        <v>6</v>
      </c>
      <c r="J5" s="19">
        <v>3</v>
      </c>
      <c r="K5" s="8" t="s">
        <v>67</v>
      </c>
      <c r="L5" s="8"/>
    </row>
    <row r="6" spans="1:12">
      <c r="A6" s="9">
        <v>2023</v>
      </c>
      <c r="B6" s="10">
        <v>11823</v>
      </c>
      <c r="C6" s="15">
        <v>2.71</v>
      </c>
      <c r="D6" s="15">
        <v>41</v>
      </c>
      <c r="E6" s="15">
        <v>1.7</v>
      </c>
      <c r="F6" s="20">
        <v>392</v>
      </c>
      <c r="G6" s="20">
        <v>65</v>
      </c>
      <c r="H6" s="20">
        <v>390</v>
      </c>
      <c r="I6" s="21">
        <v>7</v>
      </c>
      <c r="J6" s="21">
        <v>3</v>
      </c>
      <c r="K6" s="12" t="s">
        <v>67</v>
      </c>
      <c r="L6" s="12"/>
    </row>
  </sheetData>
  <phoneticPr fontId="4" type="noConversion"/>
  <dataValidations count="1">
    <dataValidation type="list" sqref="K2:K6" xr:uid="{00000000-0002-0000-0300-000000000000}">
      <formula1>"OK,FAILED"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selection activeCell="E23" sqref="E23"/>
    </sheetView>
  </sheetViews>
  <sheetFormatPr defaultRowHeight="14"/>
  <cols>
    <col min="1" max="1" width="19.25" customWidth="1"/>
    <col min="2" max="2" width="8.08203125" customWidth="1"/>
    <col min="3" max="3" width="6.9140625" customWidth="1"/>
    <col min="4" max="4" width="10.75" customWidth="1"/>
    <col min="5" max="5" width="46" customWidth="1"/>
    <col min="6" max="6" width="24" customWidth="1"/>
  </cols>
  <sheetData>
    <row r="1" spans="1:6" ht="42" customHeight="1">
      <c r="A1" s="25" t="s">
        <v>38</v>
      </c>
      <c r="B1" s="25" t="s">
        <v>39</v>
      </c>
      <c r="C1" s="25" t="s">
        <v>40</v>
      </c>
      <c r="D1" s="25" t="s">
        <v>41</v>
      </c>
      <c r="E1" s="25" t="s">
        <v>42</v>
      </c>
      <c r="F1" s="25" t="s">
        <v>7</v>
      </c>
    </row>
    <row r="2" spans="1:6">
      <c r="A2" s="1" t="s">
        <v>43</v>
      </c>
      <c r="B2" s="1" t="s">
        <v>44</v>
      </c>
      <c r="C2" s="13">
        <v>1.81</v>
      </c>
      <c r="D2" s="22" t="s">
        <v>45</v>
      </c>
      <c r="E2" s="22" t="s">
        <v>46</v>
      </c>
      <c r="F2" s="22"/>
    </row>
    <row r="3" spans="1:6">
      <c r="A3" s="5" t="s">
        <v>43</v>
      </c>
      <c r="B3" s="5" t="s">
        <v>47</v>
      </c>
      <c r="C3" s="14">
        <v>2.2599999999999998</v>
      </c>
      <c r="D3" s="23" t="s">
        <v>45</v>
      </c>
      <c r="E3" s="23" t="s">
        <v>48</v>
      </c>
      <c r="F3" s="23"/>
    </row>
    <row r="4" spans="1:6">
      <c r="A4" s="5" t="s">
        <v>43</v>
      </c>
      <c r="B4" s="5" t="s">
        <v>49</v>
      </c>
      <c r="C4" s="14">
        <v>2.71</v>
      </c>
      <c r="D4" s="23" t="s">
        <v>45</v>
      </c>
      <c r="E4" s="23" t="s">
        <v>50</v>
      </c>
      <c r="F4" s="23"/>
    </row>
    <row r="5" spans="1:6">
      <c r="A5" s="5" t="s">
        <v>51</v>
      </c>
      <c r="B5" s="5" t="s">
        <v>44</v>
      </c>
      <c r="C5" s="14">
        <v>3.82</v>
      </c>
      <c r="D5" s="23" t="s">
        <v>52</v>
      </c>
      <c r="E5" s="23" t="s">
        <v>46</v>
      </c>
      <c r="F5" s="23"/>
    </row>
    <row r="6" spans="1:6">
      <c r="A6" s="5" t="s">
        <v>51</v>
      </c>
      <c r="B6" s="5" t="s">
        <v>47</v>
      </c>
      <c r="C6" s="14">
        <v>4.78</v>
      </c>
      <c r="D6" s="23" t="s">
        <v>52</v>
      </c>
      <c r="E6" s="23" t="s">
        <v>53</v>
      </c>
      <c r="F6" s="23" t="s">
        <v>54</v>
      </c>
    </row>
    <row r="7" spans="1:6">
      <c r="A7" s="5" t="s">
        <v>51</v>
      </c>
      <c r="B7" s="5" t="s">
        <v>49</v>
      </c>
      <c r="C7" s="14">
        <v>5.74</v>
      </c>
      <c r="D7" s="23" t="s">
        <v>52</v>
      </c>
      <c r="E7" s="23" t="s">
        <v>50</v>
      </c>
      <c r="F7" s="23"/>
    </row>
    <row r="8" spans="1:6">
      <c r="A8" s="5" t="s">
        <v>55</v>
      </c>
      <c r="B8" s="5" t="s">
        <v>44</v>
      </c>
      <c r="C8" s="14">
        <v>0.46</v>
      </c>
      <c r="D8" s="23" t="s">
        <v>56</v>
      </c>
      <c r="E8" s="23" t="s">
        <v>46</v>
      </c>
      <c r="F8" s="23"/>
    </row>
    <row r="9" spans="1:6">
      <c r="A9" s="5" t="s">
        <v>55</v>
      </c>
      <c r="B9" s="5" t="s">
        <v>47</v>
      </c>
      <c r="C9" s="14">
        <v>0.56999999999999995</v>
      </c>
      <c r="D9" s="23" t="s">
        <v>56</v>
      </c>
      <c r="E9" s="23" t="s">
        <v>57</v>
      </c>
      <c r="F9" s="23" t="s">
        <v>58</v>
      </c>
    </row>
    <row r="10" spans="1:6">
      <c r="A10" s="5" t="s">
        <v>55</v>
      </c>
      <c r="B10" s="5" t="s">
        <v>49</v>
      </c>
      <c r="C10" s="14">
        <v>0.68</v>
      </c>
      <c r="D10" s="23" t="s">
        <v>56</v>
      </c>
      <c r="E10" s="23" t="s">
        <v>50</v>
      </c>
      <c r="F10" s="23"/>
    </row>
    <row r="11" spans="1:6">
      <c r="A11" s="5" t="s">
        <v>59</v>
      </c>
      <c r="B11" s="5" t="s">
        <v>44</v>
      </c>
      <c r="C11" s="14">
        <v>56.4</v>
      </c>
      <c r="D11" s="23" t="s">
        <v>60</v>
      </c>
      <c r="E11" s="23" t="s">
        <v>46</v>
      </c>
      <c r="F11" s="23"/>
    </row>
    <row r="12" spans="1:6">
      <c r="A12" s="5" t="s">
        <v>59</v>
      </c>
      <c r="B12" s="5" t="s">
        <v>47</v>
      </c>
      <c r="C12" s="14">
        <v>70.5</v>
      </c>
      <c r="D12" s="23" t="s">
        <v>60</v>
      </c>
      <c r="E12" s="23" t="s">
        <v>61</v>
      </c>
      <c r="F12" s="23"/>
    </row>
    <row r="13" spans="1:6">
      <c r="A13" s="5" t="s">
        <v>59</v>
      </c>
      <c r="B13" s="5" t="s">
        <v>49</v>
      </c>
      <c r="C13" s="14">
        <v>84.6</v>
      </c>
      <c r="D13" s="23" t="s">
        <v>60</v>
      </c>
      <c r="E13" s="23" t="s">
        <v>50</v>
      </c>
      <c r="F13" s="23"/>
    </row>
    <row r="14" spans="1:6">
      <c r="A14" s="5" t="s">
        <v>62</v>
      </c>
      <c r="B14" s="5" t="s">
        <v>44</v>
      </c>
      <c r="C14" s="14">
        <v>12</v>
      </c>
      <c r="D14" s="23" t="s">
        <v>60</v>
      </c>
      <c r="E14" s="23" t="s">
        <v>46</v>
      </c>
      <c r="F14" s="23"/>
    </row>
    <row r="15" spans="1:6">
      <c r="A15" s="5" t="s">
        <v>62</v>
      </c>
      <c r="B15" s="5" t="s">
        <v>47</v>
      </c>
      <c r="C15" s="14">
        <v>15</v>
      </c>
      <c r="D15" s="23" t="s">
        <v>60</v>
      </c>
      <c r="E15" s="23" t="s">
        <v>63</v>
      </c>
      <c r="F15" s="23"/>
    </row>
    <row r="16" spans="1:6">
      <c r="A16" s="9" t="s">
        <v>62</v>
      </c>
      <c r="B16" s="9" t="s">
        <v>49</v>
      </c>
      <c r="C16" s="15">
        <v>18</v>
      </c>
      <c r="D16" s="24" t="s">
        <v>60</v>
      </c>
      <c r="E16" s="24" t="s">
        <v>50</v>
      </c>
      <c r="F16" s="24"/>
    </row>
  </sheetData>
  <phoneticPr fontId="4" type="noConversion"/>
  <dataValidations count="1">
    <dataValidation type="list" sqref="B2:B16" xr:uid="{00000000-0002-0000-0400-000000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Candidate_Management</vt:lpstr>
      <vt:lpstr>Candidate_Year_Results</vt:lpstr>
      <vt:lpstr>Farmer_Year_Results</vt:lpstr>
      <vt:lpstr>Economic_Parameters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yongqiang wang</cp:lastModifiedBy>
  <dcterms:modified xsi:type="dcterms:W3CDTF">2026-08-27T13:22:10Z</dcterms:modified>
</cp:coreProperties>
</file>